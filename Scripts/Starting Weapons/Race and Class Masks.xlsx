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ow-server\Zeppelin-Craft\Scripts\"/>
    </mc:Choice>
  </mc:AlternateContent>
  <xr:revisionPtr revIDLastSave="0" documentId="13_ncr:1_{4504C5D1-30A2-44DD-8F07-86F1E3DDA002}" xr6:coauthVersionLast="47" xr6:coauthVersionMax="47" xr10:uidLastSave="{00000000-0000-0000-0000-000000000000}"/>
  <bookViews>
    <workbookView xWindow="23040" yWindow="0" windowWidth="23040" windowHeight="12660" activeTab="3" xr2:uid="{00000000-000D-0000-FFFF-FFFF00000000}"/>
  </bookViews>
  <sheets>
    <sheet name="Race Mask" sheetId="1" r:id="rId1"/>
    <sheet name="Class Mask" sheetId="2" r:id="rId2"/>
    <sheet name="Weapon Class Mask" sheetId="3" r:id="rId3"/>
    <sheet name="Race Class Starting Skills" sheetId="4" r:id="rId4"/>
  </sheets>
  <definedNames>
    <definedName name="_xlnm._FilterDatabase" localSheetId="2" hidden="1">'Weapon Class Mask'!$A$3:$B$3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4" i="4" l="1"/>
  <c r="H304" i="4"/>
  <c r="G304" i="4"/>
  <c r="E304" i="4"/>
  <c r="D304" i="4"/>
  <c r="C304" i="4"/>
  <c r="B304" i="4"/>
  <c r="K270" i="4"/>
  <c r="J270" i="4"/>
  <c r="I270" i="4"/>
  <c r="H270" i="4"/>
  <c r="F270" i="4"/>
  <c r="E270" i="4"/>
  <c r="D270" i="4"/>
  <c r="C270" i="4"/>
  <c r="K253" i="4"/>
  <c r="J253" i="4"/>
  <c r="I253" i="4"/>
  <c r="H253" i="4"/>
  <c r="G253" i="4"/>
  <c r="F253" i="4"/>
  <c r="E253" i="4"/>
  <c r="D253" i="4"/>
  <c r="B253" i="4"/>
  <c r="K236" i="4"/>
  <c r="J236" i="4"/>
  <c r="I236" i="4"/>
  <c r="H236" i="4"/>
  <c r="F236" i="4"/>
  <c r="E236" i="4"/>
  <c r="D236" i="4"/>
  <c r="C236" i="4"/>
  <c r="B236" i="4"/>
  <c r="K219" i="4"/>
  <c r="J219" i="4"/>
  <c r="I219" i="4"/>
  <c r="H219" i="4"/>
  <c r="G219" i="4"/>
  <c r="F219" i="4"/>
  <c r="D219" i="4"/>
  <c r="C219" i="4"/>
  <c r="K202" i="4"/>
  <c r="J202" i="4"/>
  <c r="I202" i="4"/>
  <c r="H202" i="4"/>
  <c r="F202" i="4"/>
  <c r="E202" i="4"/>
  <c r="C202" i="4"/>
  <c r="J185" i="4"/>
  <c r="G185" i="4"/>
  <c r="F185" i="4"/>
  <c r="E185" i="4"/>
  <c r="D185" i="4"/>
  <c r="C185" i="4"/>
  <c r="B185" i="4"/>
  <c r="K168" i="4"/>
  <c r="J168" i="4"/>
  <c r="I168" i="4"/>
  <c r="G168" i="4"/>
  <c r="F168" i="4"/>
  <c r="E168" i="4"/>
  <c r="D168" i="4"/>
  <c r="C168" i="4"/>
  <c r="K151" i="4"/>
  <c r="J151" i="4"/>
  <c r="I151" i="4"/>
  <c r="H151" i="4"/>
  <c r="F151" i="4"/>
  <c r="E151" i="4"/>
  <c r="D151" i="4"/>
  <c r="C151" i="4"/>
  <c r="B151" i="4"/>
  <c r="K134" i="4"/>
  <c r="J134" i="4"/>
  <c r="I134" i="4"/>
  <c r="G134" i="4"/>
  <c r="E134" i="4"/>
  <c r="D134" i="4"/>
  <c r="K117" i="4"/>
  <c r="J117" i="4"/>
  <c r="I117" i="4"/>
  <c r="H117" i="4"/>
  <c r="G117" i="4"/>
  <c r="F117" i="4"/>
  <c r="E117" i="4"/>
  <c r="C117" i="4"/>
  <c r="B117" i="4"/>
  <c r="K100" i="4"/>
  <c r="J100" i="4"/>
  <c r="I100" i="4"/>
  <c r="H100" i="4"/>
  <c r="G100" i="4"/>
  <c r="F100" i="4"/>
  <c r="E100" i="4"/>
  <c r="D100" i="4"/>
  <c r="C100" i="4"/>
  <c r="B100" i="4"/>
  <c r="K83" i="4"/>
  <c r="I83" i="4"/>
  <c r="H83" i="4"/>
  <c r="G83" i="4"/>
  <c r="F83" i="4"/>
  <c r="D83" i="4"/>
  <c r="C83" i="4"/>
  <c r="K66" i="4"/>
  <c r="J66" i="4"/>
  <c r="I66" i="4"/>
  <c r="H66" i="4"/>
  <c r="G66" i="4"/>
  <c r="F66" i="4"/>
  <c r="E66" i="4"/>
  <c r="D66" i="4"/>
  <c r="C66" i="4"/>
  <c r="B66" i="4"/>
  <c r="K49" i="4"/>
  <c r="J49" i="4"/>
  <c r="I49" i="4"/>
  <c r="H49" i="4"/>
  <c r="G49" i="4"/>
  <c r="F49" i="4"/>
  <c r="E49" i="4"/>
  <c r="C49" i="4"/>
  <c r="B49" i="4"/>
  <c r="K32" i="4"/>
  <c r="J32" i="4"/>
  <c r="I32" i="4"/>
  <c r="H32" i="4"/>
  <c r="F32" i="4"/>
  <c r="E32" i="4"/>
  <c r="C32" i="4"/>
  <c r="M14" i="4"/>
  <c r="M13" i="4"/>
  <c r="B270" i="4" s="1"/>
  <c r="M12" i="4"/>
  <c r="M11" i="4"/>
  <c r="J15" i="4" s="1"/>
  <c r="M10" i="4"/>
  <c r="H185" i="4" s="1"/>
  <c r="M9" i="4"/>
  <c r="M8" i="4"/>
  <c r="H287" i="4" s="1"/>
  <c r="M7" i="4"/>
  <c r="M6" i="4"/>
  <c r="K15" i="4" s="1"/>
  <c r="M5" i="4"/>
  <c r="D117" i="4" s="1"/>
  <c r="M4" i="4"/>
  <c r="D287" i="4" s="1"/>
  <c r="M3" i="4"/>
  <c r="I287" i="4" s="1"/>
  <c r="L2" i="3"/>
  <c r="K2" i="3"/>
  <c r="J2" i="3"/>
  <c r="I2" i="3"/>
  <c r="H2" i="3"/>
  <c r="G2" i="3"/>
  <c r="M20" i="3" s="1"/>
  <c r="F2" i="3"/>
  <c r="E2" i="3"/>
  <c r="D2" i="3"/>
  <c r="C2" i="3"/>
  <c r="M5" i="3" s="1"/>
  <c r="D11" i="2"/>
  <c r="D12" i="2" s="1"/>
  <c r="D10" i="2"/>
  <c r="D9" i="2"/>
  <c r="D8" i="2"/>
  <c r="D7" i="2"/>
  <c r="D6" i="2"/>
  <c r="D5" i="2"/>
  <c r="D4" i="2"/>
  <c r="D3" i="2"/>
  <c r="D2" i="2"/>
  <c r="E13" i="1"/>
  <c r="E12" i="1"/>
  <c r="E11" i="1"/>
  <c r="E10" i="1"/>
  <c r="E9" i="1"/>
  <c r="E8" i="1"/>
  <c r="E7" i="1"/>
  <c r="E6" i="1"/>
  <c r="E5" i="1"/>
  <c r="E4" i="1"/>
  <c r="E3" i="1"/>
  <c r="E2" i="1"/>
  <c r="E14" i="1" s="1"/>
  <c r="M16" i="3" l="1"/>
  <c r="M15" i="3"/>
  <c r="M14" i="3"/>
  <c r="M13" i="3"/>
  <c r="M12" i="3"/>
  <c r="M11" i="3"/>
  <c r="M10" i="3"/>
  <c r="M4" i="3"/>
  <c r="M9" i="3"/>
  <c r="M2" i="3"/>
  <c r="M8" i="3"/>
  <c r="M19" i="3"/>
  <c r="M7" i="3"/>
  <c r="M18" i="3"/>
  <c r="M6" i="3"/>
  <c r="M17" i="3"/>
  <c r="B15" i="4"/>
  <c r="D32" i="4"/>
  <c r="J83" i="4"/>
  <c r="H168" i="4"/>
  <c r="B219" i="4"/>
  <c r="J287" i="4"/>
  <c r="C15" i="4"/>
  <c r="G151" i="4"/>
  <c r="K185" i="4"/>
  <c r="K287" i="4"/>
  <c r="D15" i="4"/>
  <c r="F134" i="4"/>
  <c r="B202" i="4"/>
  <c r="E15" i="4"/>
  <c r="G32" i="4"/>
  <c r="E219" i="4"/>
  <c r="G236" i="4"/>
  <c r="I15" i="4"/>
  <c r="F15" i="4"/>
  <c r="B83" i="4"/>
  <c r="H134" i="4"/>
  <c r="D202" i="4"/>
  <c r="B287" i="4"/>
  <c r="G15" i="4"/>
  <c r="C287" i="4"/>
  <c r="H15" i="4"/>
  <c r="B168" i="4"/>
  <c r="F304" i="4"/>
  <c r="C253" i="4"/>
  <c r="G287" i="4"/>
  <c r="I304" i="4"/>
  <c r="E83" i="4"/>
  <c r="G202" i="4"/>
  <c r="E287" i="4"/>
  <c r="F287" i="4"/>
  <c r="B32" i="4"/>
  <c r="D49" i="4"/>
  <c r="B134" i="4"/>
  <c r="J304" i="4"/>
  <c r="C134" i="4"/>
  <c r="I185" i="4"/>
  <c r="G2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Justurn</author>
  </authors>
  <commentList>
    <comment ref="B11" authorId="0" shapeId="0" xr:uid="{6C258B02-481F-4FC2-B3AA-977C4C0824B3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TAUREN</t>
        </r>
      </text>
    </comment>
    <comment ref="D11" authorId="0" shapeId="0" xr:uid="{7C32CDFD-9782-46CE-AFE9-A8FCC1C4536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TAUREN</t>
        </r>
      </text>
    </comment>
    <comment ref="E11" authorId="0" shapeId="0" xr:uid="{FED6AD4B-9B5F-47C6-8A8E-35D849E7E8BD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F11" authorId="0" shapeId="0" xr:uid="{6EAE71BC-507D-4AE0-9441-255D4DB109F6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TROLL</t>
        </r>
      </text>
    </comment>
    <comment ref="H11" authorId="0" shapeId="0" xr:uid="{015B5195-B39C-40DE-9DC3-3372903831F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I11" authorId="0" shapeId="0" xr:uid="{B8C9B2BB-FAF3-481F-992E-DB4CD069EE8C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TROLL</t>
        </r>
      </text>
    </comment>
    <comment ref="J11" authorId="0" shapeId="0" xr:uid="{24325DCA-8EA7-4573-9A03-5D0D2A9CCB5F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ORC</t>
        </r>
      </text>
    </comment>
    <comment ref="B14" authorId="0" shapeId="0" xr:uid="{006CA839-2019-46AB-BBC9-7B95153BBD03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D14" authorId="0" shapeId="0" xr:uid="{E6A464CA-E4D2-408C-8098-8B6FBC7517F5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NIGHT ELF</t>
        </r>
      </text>
    </comment>
    <comment ref="E14" authorId="0" shapeId="0" xr:uid="{D08C4F51-836F-4180-8A55-83B0D60B6ED0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F14" authorId="0" shapeId="0" xr:uid="{2D8BB052-35AD-4BCE-BC13-C1CC306D5261}">
      <text>
        <r>
          <rPr>
            <b/>
            <sz val="9"/>
            <color indexed="81"/>
            <rFont val="Tahoma"/>
            <charset val="1"/>
          </rPr>
          <t>Justurn:</t>
        </r>
        <r>
          <rPr>
            <sz val="9"/>
            <color indexed="81"/>
            <rFont val="Tahoma"/>
            <charset val="1"/>
          </rPr>
          <t xml:space="preserve">
HUMAN</t>
        </r>
      </text>
    </comment>
    <comment ref="I14" authorId="0" shapeId="0" xr:uid="{07D6F216-5C70-49A5-A4E8-195A2FE2EEA1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HUMAN</t>
        </r>
      </text>
    </comment>
    <comment ref="J14" authorId="0" shapeId="0" xr:uid="{5D98FAD1-BF2C-48D6-833B-BF5466FBFAE8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HUMAN</t>
        </r>
      </text>
    </comment>
    <comment ref="K14" authorId="0" shapeId="0" xr:uid="{6C0CFB82-D17A-454E-B999-DF6D7D11C3AA}">
      <text>
        <r>
          <rPr>
            <b/>
            <sz val="9"/>
            <color indexed="81"/>
            <rFont val="Tahoma"/>
            <family val="2"/>
          </rPr>
          <t>Justurn:</t>
        </r>
        <r>
          <rPr>
            <sz val="9"/>
            <color indexed="81"/>
            <rFont val="Tahoma"/>
            <family val="2"/>
          </rPr>
          <t xml:space="preserve">
NIGHT ELF</t>
        </r>
      </text>
    </comment>
  </commentList>
</comments>
</file>

<file path=xl/sharedStrings.xml><?xml version="1.0" encoding="utf-8"?>
<sst xmlns="http://schemas.openxmlformats.org/spreadsheetml/2006/main" count="1310" uniqueCount="70">
  <si>
    <t>RACE</t>
  </si>
  <si>
    <t>ENUM</t>
  </si>
  <si>
    <t>INCLUDE?</t>
  </si>
  <si>
    <t>MASK</t>
  </si>
  <si>
    <t>HUMAN</t>
  </si>
  <si>
    <t>x</t>
  </si>
  <si>
    <t>ORC</t>
  </si>
  <si>
    <t>DWARF</t>
  </si>
  <si>
    <t>NIGHTELF</t>
  </si>
  <si>
    <t>UNDEAD</t>
  </si>
  <si>
    <t>TAUREN</t>
  </si>
  <si>
    <t>GNOME</t>
  </si>
  <si>
    <t>TROLL</t>
  </si>
  <si>
    <t>GOBLIN</t>
  </si>
  <si>
    <t>BLOODELF</t>
  </si>
  <si>
    <t>DRAENEI</t>
  </si>
  <si>
    <t>WORGEN</t>
  </si>
  <si>
    <t>Class</t>
  </si>
  <si>
    <t xml:space="preserve">Warrior </t>
  </si>
  <si>
    <t>Paladin</t>
  </si>
  <si>
    <t>Hunter</t>
  </si>
  <si>
    <t>Rogue</t>
  </si>
  <si>
    <t>Priest</t>
  </si>
  <si>
    <t>Death Knight</t>
  </si>
  <si>
    <t>Shaman</t>
  </si>
  <si>
    <t>Mage</t>
  </si>
  <si>
    <t>Warlock</t>
  </si>
  <si>
    <t>Druid</t>
  </si>
  <si>
    <t>ALL</t>
  </si>
  <si>
    <t>Weapons</t>
  </si>
  <si>
    <t>Skill ID</t>
  </si>
  <si>
    <t>Mask</t>
  </si>
  <si>
    <t>Axes</t>
  </si>
  <si>
    <t>Bows</t>
  </si>
  <si>
    <t>Crossbows</t>
  </si>
  <si>
    <t>Daggers</t>
  </si>
  <si>
    <t>Fist Weapons</t>
  </si>
  <si>
    <t>Guns</t>
  </si>
  <si>
    <t>Maces</t>
  </si>
  <si>
    <t>Polearms</t>
  </si>
  <si>
    <t>Shield</t>
  </si>
  <si>
    <t>Staves</t>
  </si>
  <si>
    <t>Swords</t>
  </si>
  <si>
    <t>Thrown</t>
  </si>
  <si>
    <t>Two-Handed Axes</t>
  </si>
  <si>
    <t>Two-Handed Maces</t>
  </si>
  <si>
    <t>Two-Handed Swords</t>
  </si>
  <si>
    <t>Unarmed</t>
  </si>
  <si>
    <t>Wands</t>
  </si>
  <si>
    <t>Class Race Combinations</t>
  </si>
  <si>
    <t>INVALID</t>
  </si>
  <si>
    <t>RACE MASK</t>
  </si>
  <si>
    <t>Class Race - Starting Skill - Axe - 44</t>
  </si>
  <si>
    <t>CLASS MASK</t>
  </si>
  <si>
    <t>Class Race - Starting Skill - Bows - 45</t>
  </si>
  <si>
    <t>Class Race - Starting Skill - Crossbows - 226</t>
  </si>
  <si>
    <t>Class Race - Starting Skill - Dagger - 173</t>
  </si>
  <si>
    <t>Class Race - Starting Skill - Fist Weapons - 473</t>
  </si>
  <si>
    <t>Class Race - Starting Skill - Guns - 46</t>
  </si>
  <si>
    <t>Class Race - Starting Skill - Maces - 54</t>
  </si>
  <si>
    <t>Class Race - Starting Skill - Polearms - 229</t>
  </si>
  <si>
    <t>Class Race - Starting Skill - Shield - 433</t>
  </si>
  <si>
    <t>Class Race - Starting Skill - Staves - 136</t>
  </si>
  <si>
    <t>Class Race - Starting Skill - Swords - 43</t>
  </si>
  <si>
    <t>Class Race - Starting Skill - Thrown - 176</t>
  </si>
  <si>
    <t>Class Race - Starting Skill - Two-Handed Axes - 172</t>
  </si>
  <si>
    <t>Class Race - Starting Skill - Two-Handed Maces - 160</t>
  </si>
  <si>
    <t>Class Race - Starting Skill - Two-Handed Swords - 55</t>
  </si>
  <si>
    <t>Class Race - Starting Skill - Unarmed - 162</t>
  </si>
  <si>
    <t>Class Race - Starting Skill - Wands - 228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</si>
</sst>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5" borderId="1" xfId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1" xfId="0" applyFont="1" applyBorder="1"/>
    <xf numFmtId="0" fontId="7" fillId="3" borderId="1" xfId="0" applyFont="1" applyFill="1" applyBorder="1"/>
    <xf numFmtId="0" fontId="7" fillId="4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7" fillId="5" borderId="1" xfId="1" applyFont="1" applyBorder="1"/>
    <xf numFmtId="0" fontId="7" fillId="4" borderId="1" xfId="0" applyFont="1" applyFill="1" applyBorder="1" applyAlignment="1">
      <alignment horizontal="left"/>
    </xf>
  </cellXfs>
  <cellStyles count="2">
    <cellStyle name="Bad" xfId="1" builtinId="27"/>
    <cellStyle name="Normal" xfId="0" builtinId="0"/>
  </cellStyles>
  <dxfs count="636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420415</xdr:colOff>
      <xdr:row>0</xdr:row>
      <xdr:rowOff>158738</xdr:rowOff>
    </xdr:from>
    <xdr:to>
      <xdr:col>10</xdr:col>
      <xdr:colOff>94068</xdr:colOff>
      <xdr:row>12</xdr:row>
      <xdr:rowOff>168954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58360" y="158738"/>
          <a:ext cx="3362784" cy="221738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45720</xdr:colOff>
      <xdr:row>1</xdr:row>
      <xdr:rowOff>162544</xdr:rowOff>
    </xdr:from>
    <xdr:to>
      <xdr:col>20</xdr:col>
      <xdr:colOff>38770</xdr:colOff>
      <xdr:row>18</xdr:row>
      <xdr:rowOff>132009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" y="345424"/>
          <a:ext cx="3650650" cy="3078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zoomScale="115" zoomScaleNormal="115" workbookViewId="0">
      <selection activeCell="B1" sqref="B1:E14"/>
    </sheetView>
  </sheetViews>
  <sheetFormatPr defaultRowHeight="14.4" x14ac:dyDescent="0.3"/>
  <cols>
    <col min="2" max="2" width="9.6640625" bestFit="1" customWidth="1"/>
    <col min="3" max="3" width="6.33203125" bestFit="1" customWidth="1"/>
    <col min="4" max="4" width="9.33203125" bestFit="1" customWidth="1"/>
    <col min="5" max="5" width="5.6640625" bestFit="1" customWidth="1"/>
    <col min="7" max="7" width="18.21875" bestFit="1" customWidth="1"/>
  </cols>
  <sheetData>
    <row r="1" spans="2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">
      <c r="B2" s="1" t="s">
        <v>4</v>
      </c>
      <c r="C2" s="1">
        <v>1</v>
      </c>
      <c r="D2" s="1" t="s">
        <v>5</v>
      </c>
      <c r="E2" s="1">
        <f t="shared" ref="E2:E13" si="0">IF(NOT(ISBLANK(D2)),POWER(2,C2-1),0)</f>
        <v>1</v>
      </c>
    </row>
    <row r="3" spans="2:5" x14ac:dyDescent="0.3">
      <c r="B3" s="1" t="s">
        <v>6</v>
      </c>
      <c r="C3" s="1">
        <v>2</v>
      </c>
      <c r="D3" s="1" t="s">
        <v>5</v>
      </c>
      <c r="E3" s="1">
        <f t="shared" si="0"/>
        <v>2</v>
      </c>
    </row>
    <row r="4" spans="2:5" x14ac:dyDescent="0.3">
      <c r="B4" s="1" t="s">
        <v>7</v>
      </c>
      <c r="C4" s="1">
        <v>3</v>
      </c>
      <c r="D4" s="1" t="s">
        <v>5</v>
      </c>
      <c r="E4" s="1">
        <f t="shared" si="0"/>
        <v>4</v>
      </c>
    </row>
    <row r="5" spans="2:5" x14ac:dyDescent="0.3">
      <c r="B5" s="1" t="s">
        <v>8</v>
      </c>
      <c r="C5" s="1">
        <v>4</v>
      </c>
      <c r="D5" s="1" t="s">
        <v>5</v>
      </c>
      <c r="E5" s="1">
        <f t="shared" si="0"/>
        <v>8</v>
      </c>
    </row>
    <row r="6" spans="2:5" x14ac:dyDescent="0.3">
      <c r="B6" s="1" t="s">
        <v>9</v>
      </c>
      <c r="C6" s="1">
        <v>5</v>
      </c>
      <c r="D6" s="1" t="s">
        <v>5</v>
      </c>
      <c r="E6" s="1">
        <f t="shared" si="0"/>
        <v>16</v>
      </c>
    </row>
    <row r="7" spans="2:5" x14ac:dyDescent="0.3">
      <c r="B7" s="1" t="s">
        <v>10</v>
      </c>
      <c r="C7" s="1">
        <v>6</v>
      </c>
      <c r="D7" s="1"/>
      <c r="E7" s="1">
        <f t="shared" si="0"/>
        <v>0</v>
      </c>
    </row>
    <row r="8" spans="2:5" x14ac:dyDescent="0.3">
      <c r="B8" s="1" t="s">
        <v>11</v>
      </c>
      <c r="C8" s="1">
        <v>7</v>
      </c>
      <c r="D8" s="1" t="s">
        <v>5</v>
      </c>
      <c r="E8" s="1">
        <f t="shared" si="0"/>
        <v>64</v>
      </c>
    </row>
    <row r="9" spans="2:5" x14ac:dyDescent="0.3">
      <c r="B9" s="1" t="s">
        <v>12</v>
      </c>
      <c r="C9" s="1">
        <v>8</v>
      </c>
      <c r="D9" s="1" t="s">
        <v>5</v>
      </c>
      <c r="E9" s="1">
        <f t="shared" si="0"/>
        <v>128</v>
      </c>
    </row>
    <row r="10" spans="2:5" x14ac:dyDescent="0.3">
      <c r="B10" s="1" t="s">
        <v>13</v>
      </c>
      <c r="C10" s="1">
        <v>9</v>
      </c>
      <c r="D10" s="1" t="s">
        <v>5</v>
      </c>
      <c r="E10" s="1">
        <f t="shared" si="0"/>
        <v>256</v>
      </c>
    </row>
    <row r="11" spans="2:5" x14ac:dyDescent="0.3">
      <c r="B11" s="1" t="s">
        <v>14</v>
      </c>
      <c r="C11" s="1">
        <v>10</v>
      </c>
      <c r="D11" s="1" t="s">
        <v>5</v>
      </c>
      <c r="E11" s="1">
        <f t="shared" si="0"/>
        <v>512</v>
      </c>
    </row>
    <row r="12" spans="2:5" x14ac:dyDescent="0.3">
      <c r="B12" s="1" t="s">
        <v>15</v>
      </c>
      <c r="C12" s="1">
        <v>11</v>
      </c>
      <c r="D12" s="1"/>
      <c r="E12" s="1">
        <f t="shared" si="0"/>
        <v>0</v>
      </c>
    </row>
    <row r="13" spans="2:5" x14ac:dyDescent="0.3">
      <c r="B13" s="1" t="s">
        <v>16</v>
      </c>
      <c r="C13" s="1">
        <v>12</v>
      </c>
      <c r="D13" s="1" t="s">
        <v>5</v>
      </c>
      <c r="E13" s="1">
        <f t="shared" si="0"/>
        <v>2048</v>
      </c>
    </row>
    <row r="14" spans="2:5" x14ac:dyDescent="0.3">
      <c r="B14" s="6" t="s">
        <v>3</v>
      </c>
      <c r="C14" s="7"/>
      <c r="D14" s="8"/>
      <c r="E14" s="1">
        <f>SUM(E2:E13)</f>
        <v>3039</v>
      </c>
    </row>
  </sheetData>
  <mergeCells count="1">
    <mergeCell ref="B14:D14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G13" sqref="G13"/>
    </sheetView>
  </sheetViews>
  <sheetFormatPr defaultRowHeight="14.4" x14ac:dyDescent="0.3"/>
  <cols>
    <col min="1" max="1" width="11.33203125" bestFit="1" customWidth="1"/>
  </cols>
  <sheetData>
    <row r="1" spans="1:4" x14ac:dyDescent="0.3">
      <c r="A1" s="1" t="s">
        <v>17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18</v>
      </c>
      <c r="B2" s="1">
        <v>1</v>
      </c>
      <c r="C2" s="1" t="s">
        <v>5</v>
      </c>
      <c r="D2" s="1">
        <f t="shared" ref="D2:D11" si="0">IF(NOT(ISBLANK(C2)),POWER(2,B2-1),0)</f>
        <v>1</v>
      </c>
    </row>
    <row r="3" spans="1:4" x14ac:dyDescent="0.3">
      <c r="A3" s="1" t="s">
        <v>19</v>
      </c>
      <c r="B3" s="1">
        <v>2</v>
      </c>
      <c r="C3" s="1" t="s">
        <v>5</v>
      </c>
      <c r="D3" s="1">
        <f t="shared" si="0"/>
        <v>2</v>
      </c>
    </row>
    <row r="4" spans="1:4" x14ac:dyDescent="0.3">
      <c r="A4" s="1" t="s">
        <v>20</v>
      </c>
      <c r="B4" s="1">
        <v>3</v>
      </c>
      <c r="C4" s="1" t="s">
        <v>5</v>
      </c>
      <c r="D4" s="1">
        <f t="shared" si="0"/>
        <v>4</v>
      </c>
    </row>
    <row r="5" spans="1:4" x14ac:dyDescent="0.3">
      <c r="A5" s="1" t="s">
        <v>21</v>
      </c>
      <c r="B5" s="1">
        <v>4</v>
      </c>
      <c r="C5" s="1" t="s">
        <v>5</v>
      </c>
      <c r="D5" s="1">
        <f t="shared" si="0"/>
        <v>8</v>
      </c>
    </row>
    <row r="6" spans="1:4" x14ac:dyDescent="0.3">
      <c r="A6" s="1" t="s">
        <v>22</v>
      </c>
      <c r="B6" s="1">
        <v>5</v>
      </c>
      <c r="C6" s="1" t="s">
        <v>5</v>
      </c>
      <c r="D6" s="1">
        <f t="shared" si="0"/>
        <v>16</v>
      </c>
    </row>
    <row r="7" spans="1:4" x14ac:dyDescent="0.3">
      <c r="A7" s="1" t="s">
        <v>23</v>
      </c>
      <c r="B7" s="1">
        <v>6</v>
      </c>
      <c r="C7" s="1" t="s">
        <v>5</v>
      </c>
      <c r="D7" s="1">
        <f t="shared" si="0"/>
        <v>32</v>
      </c>
    </row>
    <row r="8" spans="1:4" x14ac:dyDescent="0.3">
      <c r="A8" s="1" t="s">
        <v>24</v>
      </c>
      <c r="B8" s="1">
        <v>7</v>
      </c>
      <c r="C8" s="1" t="s">
        <v>5</v>
      </c>
      <c r="D8" s="1">
        <f t="shared" si="0"/>
        <v>64</v>
      </c>
    </row>
    <row r="9" spans="1:4" x14ac:dyDescent="0.3">
      <c r="A9" s="1" t="s">
        <v>25</v>
      </c>
      <c r="B9" s="1">
        <v>8</v>
      </c>
      <c r="C9" s="1" t="s">
        <v>5</v>
      </c>
      <c r="D9" s="1">
        <f t="shared" si="0"/>
        <v>128</v>
      </c>
    </row>
    <row r="10" spans="1:4" x14ac:dyDescent="0.3">
      <c r="A10" s="1" t="s">
        <v>26</v>
      </c>
      <c r="B10" s="1">
        <v>9</v>
      </c>
      <c r="C10" s="1" t="s">
        <v>5</v>
      </c>
      <c r="D10" s="1">
        <f t="shared" si="0"/>
        <v>256</v>
      </c>
    </row>
    <row r="11" spans="1:4" x14ac:dyDescent="0.3">
      <c r="A11" s="1" t="s">
        <v>27</v>
      </c>
      <c r="B11" s="1">
        <v>10</v>
      </c>
      <c r="C11" s="1" t="s">
        <v>5</v>
      </c>
      <c r="D11" s="1">
        <f t="shared" si="0"/>
        <v>512</v>
      </c>
    </row>
    <row r="12" spans="1:4" x14ac:dyDescent="0.3">
      <c r="A12" s="6" t="s">
        <v>3</v>
      </c>
      <c r="B12" s="7"/>
      <c r="C12" s="8"/>
      <c r="D12" s="1">
        <f>SUM(D2:D11)</f>
        <v>1023</v>
      </c>
    </row>
  </sheetData>
  <mergeCells count="1"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selection activeCell="K24" sqref="K24"/>
    </sheetView>
  </sheetViews>
  <sheetFormatPr defaultRowHeight="14.4" x14ac:dyDescent="0.3"/>
  <cols>
    <col min="1" max="1" width="18" bestFit="1" customWidth="1"/>
    <col min="3" max="7" width="8.88671875" customWidth="1"/>
    <col min="8" max="8" width="11.33203125" customWidth="1"/>
    <col min="9" max="12" width="8.88671875" customWidth="1"/>
  </cols>
  <sheetData>
    <row r="1" spans="1:13" x14ac:dyDescent="0.3">
      <c r="A1" s="6" t="s">
        <v>1</v>
      </c>
      <c r="B1" s="8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11</v>
      </c>
      <c r="M1" s="1" t="s">
        <v>28</v>
      </c>
    </row>
    <row r="2" spans="1:13" x14ac:dyDescent="0.3">
      <c r="A2" s="6" t="s">
        <v>3</v>
      </c>
      <c r="B2" s="8"/>
      <c r="C2" s="1">
        <f t="shared" ref="C2:L2" si="0">POWER(2,C1-1)</f>
        <v>1</v>
      </c>
      <c r="D2" s="1">
        <f t="shared" si="0"/>
        <v>2</v>
      </c>
      <c r="E2" s="1">
        <f t="shared" si="0"/>
        <v>4</v>
      </c>
      <c r="F2" s="1">
        <f t="shared" si="0"/>
        <v>8</v>
      </c>
      <c r="G2" s="1">
        <f t="shared" si="0"/>
        <v>16</v>
      </c>
      <c r="H2" s="1">
        <f t="shared" si="0"/>
        <v>32</v>
      </c>
      <c r="I2" s="1">
        <f t="shared" si="0"/>
        <v>64</v>
      </c>
      <c r="J2" s="1">
        <f t="shared" si="0"/>
        <v>128</v>
      </c>
      <c r="K2" s="1">
        <f t="shared" si="0"/>
        <v>256</v>
      </c>
      <c r="L2" s="1">
        <f t="shared" si="0"/>
        <v>1024</v>
      </c>
      <c r="M2" s="1">
        <f>SUM(C2:L2)</f>
        <v>1535</v>
      </c>
    </row>
    <row r="3" spans="1:13" x14ac:dyDescent="0.3">
      <c r="A3" s="1" t="s">
        <v>29</v>
      </c>
      <c r="B3" s="1" t="s">
        <v>30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2" t="s">
        <v>31</v>
      </c>
    </row>
    <row r="4" spans="1:13" x14ac:dyDescent="0.3">
      <c r="A4" s="1" t="s">
        <v>32</v>
      </c>
      <c r="B4" s="1">
        <v>44</v>
      </c>
      <c r="C4" s="4" t="b">
        <v>1</v>
      </c>
      <c r="D4" s="4" t="b">
        <v>1</v>
      </c>
      <c r="E4" s="4" t="b">
        <v>1</v>
      </c>
      <c r="F4" s="5" t="b">
        <v>0</v>
      </c>
      <c r="G4" s="5" t="b">
        <v>0</v>
      </c>
      <c r="H4" s="4" t="b">
        <v>1</v>
      </c>
      <c r="I4" s="4" t="b">
        <v>1</v>
      </c>
      <c r="J4" s="5" t="b">
        <v>0</v>
      </c>
      <c r="K4" s="5" t="b">
        <v>0</v>
      </c>
      <c r="L4" s="5" t="b">
        <v>0</v>
      </c>
      <c r="M4" s="3">
        <f>SUMIFS($C$2:$L$2,C4:L4,"TRUE")</f>
        <v>103</v>
      </c>
    </row>
    <row r="5" spans="1:13" x14ac:dyDescent="0.3">
      <c r="A5" s="1" t="s">
        <v>33</v>
      </c>
      <c r="B5" s="1">
        <v>45</v>
      </c>
      <c r="C5" s="4" t="b">
        <v>1</v>
      </c>
      <c r="D5" s="5" t="b">
        <v>0</v>
      </c>
      <c r="E5" s="4" t="b">
        <v>1</v>
      </c>
      <c r="F5" s="4" t="b">
        <v>1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3">
        <f t="shared" ref="M5:M20" si="1">SUMIFS($C$2:$L$2,C5:L5,"TRUE")</f>
        <v>13</v>
      </c>
    </row>
    <row r="6" spans="1:13" x14ac:dyDescent="0.3">
      <c r="A6" s="1" t="s">
        <v>34</v>
      </c>
      <c r="B6" s="1">
        <v>226</v>
      </c>
      <c r="C6" s="4" t="b">
        <v>1</v>
      </c>
      <c r="D6" s="5" t="b">
        <v>0</v>
      </c>
      <c r="E6" s="4" t="b">
        <v>1</v>
      </c>
      <c r="F6" s="4" t="b">
        <v>1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3">
        <f t="shared" si="1"/>
        <v>13</v>
      </c>
    </row>
    <row r="7" spans="1:13" x14ac:dyDescent="0.3">
      <c r="A7" s="1" t="s">
        <v>35</v>
      </c>
      <c r="B7" s="1">
        <v>173</v>
      </c>
      <c r="C7" s="4" t="b">
        <v>1</v>
      </c>
      <c r="D7" s="5" t="b">
        <v>0</v>
      </c>
      <c r="E7" s="4" t="b">
        <v>1</v>
      </c>
      <c r="F7" s="4" t="b">
        <v>1</v>
      </c>
      <c r="G7" s="4" t="b">
        <v>1</v>
      </c>
      <c r="H7" s="5" t="b">
        <v>0</v>
      </c>
      <c r="I7" s="4" t="b">
        <v>1</v>
      </c>
      <c r="J7" s="4" t="b">
        <v>1</v>
      </c>
      <c r="K7" s="4" t="b">
        <v>1</v>
      </c>
      <c r="L7" s="4" t="b">
        <v>1</v>
      </c>
      <c r="M7" s="3">
        <f t="shared" si="1"/>
        <v>1501</v>
      </c>
    </row>
    <row r="8" spans="1:13" x14ac:dyDescent="0.3">
      <c r="A8" s="1" t="s">
        <v>36</v>
      </c>
      <c r="B8" s="1">
        <v>473</v>
      </c>
      <c r="C8" s="4" t="b">
        <v>1</v>
      </c>
      <c r="D8" s="5" t="b">
        <v>0</v>
      </c>
      <c r="E8" s="4" t="b">
        <v>1</v>
      </c>
      <c r="F8" s="4" t="b">
        <v>1</v>
      </c>
      <c r="G8" s="5" t="b">
        <v>0</v>
      </c>
      <c r="H8" s="5" t="b">
        <v>0</v>
      </c>
      <c r="I8" s="4" t="b">
        <v>1</v>
      </c>
      <c r="J8" s="5" t="b">
        <v>0</v>
      </c>
      <c r="K8" s="5" t="b">
        <v>0</v>
      </c>
      <c r="L8" s="4" t="b">
        <v>1</v>
      </c>
      <c r="M8" s="3">
        <f t="shared" si="1"/>
        <v>1101</v>
      </c>
    </row>
    <row r="9" spans="1:13" x14ac:dyDescent="0.3">
      <c r="A9" s="1" t="s">
        <v>37</v>
      </c>
      <c r="B9" s="1">
        <v>46</v>
      </c>
      <c r="C9" s="4" t="b">
        <v>1</v>
      </c>
      <c r="D9" s="5" t="b">
        <v>0</v>
      </c>
      <c r="E9" s="4" t="b">
        <v>1</v>
      </c>
      <c r="F9" s="4" t="b">
        <v>1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3">
        <f t="shared" si="1"/>
        <v>13</v>
      </c>
    </row>
    <row r="10" spans="1:13" x14ac:dyDescent="0.3">
      <c r="A10" s="1" t="s">
        <v>38</v>
      </c>
      <c r="B10" s="1">
        <v>54</v>
      </c>
      <c r="C10" s="4" t="b">
        <v>1</v>
      </c>
      <c r="D10" s="4" t="b">
        <v>1</v>
      </c>
      <c r="E10" s="5" t="b">
        <v>0</v>
      </c>
      <c r="F10" s="4" t="b">
        <v>1</v>
      </c>
      <c r="G10" s="4" t="b">
        <v>1</v>
      </c>
      <c r="H10" s="4" t="b">
        <v>1</v>
      </c>
      <c r="I10" s="4" t="b">
        <v>1</v>
      </c>
      <c r="J10" s="5" t="b">
        <v>0</v>
      </c>
      <c r="K10" s="5" t="b">
        <v>0</v>
      </c>
      <c r="L10" s="4" t="b">
        <v>1</v>
      </c>
      <c r="M10" s="3">
        <f t="shared" si="1"/>
        <v>1147</v>
      </c>
    </row>
    <row r="11" spans="1:13" x14ac:dyDescent="0.3">
      <c r="A11" s="1" t="s">
        <v>39</v>
      </c>
      <c r="B11" s="1">
        <v>229</v>
      </c>
      <c r="C11" s="4" t="b">
        <v>1</v>
      </c>
      <c r="D11" s="4" t="b">
        <v>1</v>
      </c>
      <c r="E11" s="4" t="b">
        <v>1</v>
      </c>
      <c r="F11" s="5" t="b">
        <v>0</v>
      </c>
      <c r="G11" s="5" t="b">
        <v>0</v>
      </c>
      <c r="H11" s="4" t="b">
        <v>1</v>
      </c>
      <c r="I11" s="5" t="b">
        <v>0</v>
      </c>
      <c r="J11" s="5" t="b">
        <v>0</v>
      </c>
      <c r="K11" s="5" t="b">
        <v>0</v>
      </c>
      <c r="L11" s="5" t="b">
        <v>0</v>
      </c>
      <c r="M11" s="3">
        <f t="shared" si="1"/>
        <v>39</v>
      </c>
    </row>
    <row r="12" spans="1:13" x14ac:dyDescent="0.3">
      <c r="A12" s="1" t="s">
        <v>40</v>
      </c>
      <c r="B12" s="1">
        <v>433</v>
      </c>
      <c r="C12" s="4" t="b">
        <v>1</v>
      </c>
      <c r="D12" s="4" t="b">
        <v>1</v>
      </c>
      <c r="E12" s="5" t="b">
        <v>0</v>
      </c>
      <c r="F12" s="5" t="b">
        <v>0</v>
      </c>
      <c r="G12" s="5" t="b">
        <v>0</v>
      </c>
      <c r="H12" s="5" t="b">
        <v>0</v>
      </c>
      <c r="I12" s="4" t="b">
        <v>1</v>
      </c>
      <c r="J12" s="5" t="b">
        <v>0</v>
      </c>
      <c r="K12" s="5" t="b">
        <v>0</v>
      </c>
      <c r="L12" s="5" t="b">
        <v>0</v>
      </c>
      <c r="M12" s="3">
        <f t="shared" si="1"/>
        <v>67</v>
      </c>
    </row>
    <row r="13" spans="1:13" x14ac:dyDescent="0.3">
      <c r="A13" s="1" t="s">
        <v>41</v>
      </c>
      <c r="B13" s="1">
        <v>136</v>
      </c>
      <c r="C13" s="4" t="b">
        <v>1</v>
      </c>
      <c r="D13" s="5" t="b">
        <v>0</v>
      </c>
      <c r="E13" s="4" t="b">
        <v>1</v>
      </c>
      <c r="F13" s="5" t="b">
        <v>0</v>
      </c>
      <c r="G13" s="4" t="b">
        <v>1</v>
      </c>
      <c r="H13" s="5" t="b">
        <v>0</v>
      </c>
      <c r="I13" s="4" t="b">
        <v>1</v>
      </c>
      <c r="J13" s="4" t="b">
        <v>1</v>
      </c>
      <c r="K13" s="4" t="b">
        <v>1</v>
      </c>
      <c r="L13" s="4" t="b">
        <v>1</v>
      </c>
      <c r="M13" s="3">
        <f t="shared" si="1"/>
        <v>1493</v>
      </c>
    </row>
    <row r="14" spans="1:13" x14ac:dyDescent="0.3">
      <c r="A14" s="1" t="s">
        <v>42</v>
      </c>
      <c r="B14" s="1">
        <v>43</v>
      </c>
      <c r="C14" s="4" t="b">
        <v>1</v>
      </c>
      <c r="D14" s="4" t="b">
        <v>1</v>
      </c>
      <c r="E14" s="4" t="b">
        <v>1</v>
      </c>
      <c r="F14" s="4" t="b">
        <v>1</v>
      </c>
      <c r="G14" s="5" t="b">
        <v>0</v>
      </c>
      <c r="H14" s="4" t="b">
        <v>1</v>
      </c>
      <c r="I14" s="5" t="b">
        <v>0</v>
      </c>
      <c r="J14" s="4" t="b">
        <v>1</v>
      </c>
      <c r="K14" s="4" t="b">
        <v>1</v>
      </c>
      <c r="L14" s="5" t="b">
        <v>0</v>
      </c>
      <c r="M14" s="3">
        <f t="shared" si="1"/>
        <v>431</v>
      </c>
    </row>
    <row r="15" spans="1:13" x14ac:dyDescent="0.3">
      <c r="A15" s="1" t="s">
        <v>43</v>
      </c>
      <c r="B15" s="1">
        <v>176</v>
      </c>
      <c r="C15" s="4" t="b">
        <v>1</v>
      </c>
      <c r="D15" s="5" t="b">
        <v>0</v>
      </c>
      <c r="E15" s="5" t="b">
        <v>0</v>
      </c>
      <c r="F15" s="4" t="b">
        <v>1</v>
      </c>
      <c r="G15" s="5" t="b">
        <v>0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3">
        <f t="shared" si="1"/>
        <v>9</v>
      </c>
    </row>
    <row r="16" spans="1:13" x14ac:dyDescent="0.3">
      <c r="A16" s="1" t="s">
        <v>44</v>
      </c>
      <c r="B16" s="1">
        <v>172</v>
      </c>
      <c r="C16" s="4" t="b">
        <v>1</v>
      </c>
      <c r="D16" s="4" t="b">
        <v>1</v>
      </c>
      <c r="E16" s="4" t="b">
        <v>1</v>
      </c>
      <c r="F16" s="5" t="b">
        <v>0</v>
      </c>
      <c r="G16" s="5" t="b">
        <v>0</v>
      </c>
      <c r="H16" s="4" t="b">
        <v>1</v>
      </c>
      <c r="I16" s="4" t="b">
        <v>1</v>
      </c>
      <c r="J16" s="5" t="b">
        <v>0</v>
      </c>
      <c r="K16" s="5" t="b">
        <v>0</v>
      </c>
      <c r="L16" s="5" t="b">
        <v>0</v>
      </c>
      <c r="M16" s="3">
        <f t="shared" si="1"/>
        <v>103</v>
      </c>
    </row>
    <row r="17" spans="1:13" x14ac:dyDescent="0.3">
      <c r="A17" s="1" t="s">
        <v>45</v>
      </c>
      <c r="B17" s="1">
        <v>160</v>
      </c>
      <c r="C17" s="4" t="b">
        <v>1</v>
      </c>
      <c r="D17" s="4" t="b">
        <v>1</v>
      </c>
      <c r="E17" s="5" t="b">
        <v>0</v>
      </c>
      <c r="F17" s="5" t="b">
        <v>0</v>
      </c>
      <c r="G17" s="5" t="b">
        <v>0</v>
      </c>
      <c r="H17" s="4" t="b">
        <v>1</v>
      </c>
      <c r="I17" s="4" t="b">
        <v>1</v>
      </c>
      <c r="J17" s="5" t="b">
        <v>0</v>
      </c>
      <c r="K17" s="5" t="b">
        <v>0</v>
      </c>
      <c r="L17" s="4" t="b">
        <v>1</v>
      </c>
      <c r="M17" s="3">
        <f t="shared" si="1"/>
        <v>1123</v>
      </c>
    </row>
    <row r="18" spans="1:13" x14ac:dyDescent="0.3">
      <c r="A18" s="1" t="s">
        <v>46</v>
      </c>
      <c r="B18" s="1">
        <v>55</v>
      </c>
      <c r="C18" s="4" t="b">
        <v>1</v>
      </c>
      <c r="D18" s="4" t="b">
        <v>1</v>
      </c>
      <c r="E18" s="4" t="b">
        <v>1</v>
      </c>
      <c r="F18" s="5" t="b">
        <v>0</v>
      </c>
      <c r="G18" s="5" t="b">
        <v>0</v>
      </c>
      <c r="H18" s="4" t="b">
        <v>1</v>
      </c>
      <c r="I18" s="5" t="b">
        <v>0</v>
      </c>
      <c r="J18" s="5" t="b">
        <v>0</v>
      </c>
      <c r="K18" s="5" t="b">
        <v>0</v>
      </c>
      <c r="L18" s="5" t="b">
        <v>0</v>
      </c>
      <c r="M18" s="3">
        <f t="shared" si="1"/>
        <v>39</v>
      </c>
    </row>
    <row r="19" spans="1:13" x14ac:dyDescent="0.3">
      <c r="A19" s="1" t="s">
        <v>47</v>
      </c>
      <c r="B19" s="1">
        <v>162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3">
        <f t="shared" si="1"/>
        <v>1535</v>
      </c>
    </row>
    <row r="20" spans="1:13" x14ac:dyDescent="0.3">
      <c r="A20" s="1" t="s">
        <v>48</v>
      </c>
      <c r="B20" s="1">
        <v>228</v>
      </c>
      <c r="C20" s="5" t="b">
        <v>0</v>
      </c>
      <c r="D20" s="5" t="b">
        <v>0</v>
      </c>
      <c r="E20" s="5" t="b">
        <v>0</v>
      </c>
      <c r="F20" s="5" t="b">
        <v>0</v>
      </c>
      <c r="G20" s="4" t="b">
        <v>1</v>
      </c>
      <c r="H20" s="5" t="b">
        <v>0</v>
      </c>
      <c r="I20" s="5" t="b">
        <v>0</v>
      </c>
      <c r="J20" s="4" t="b">
        <v>1</v>
      </c>
      <c r="K20" s="4" t="b">
        <v>1</v>
      </c>
      <c r="L20" s="5" t="b">
        <v>0</v>
      </c>
      <c r="M20" s="3">
        <f t="shared" si="1"/>
        <v>400</v>
      </c>
    </row>
  </sheetData>
  <autoFilter ref="A3:B3" xr:uid="{00000000-0009-0000-0000-000002000000}">
    <sortState xmlns:xlrd2="http://schemas.microsoft.com/office/spreadsheetml/2017/richdata2" ref="A4:B20">
      <sortCondition ref="A3"/>
    </sortState>
  </autoFilter>
  <mergeCells count="2">
    <mergeCell ref="A2:B2"/>
    <mergeCell ref="A1:B1"/>
  </mergeCells>
  <conditionalFormatting sqref="C4">
    <cfRule type="cellIs" dxfId="635" priority="617" operator="equal">
      <formula>"LEARN"</formula>
    </cfRule>
    <cfRule type="expression" dxfId="634" priority="618">
      <formula>"INVALID"</formula>
    </cfRule>
    <cfRule type="expression" dxfId="633" priority="619">
      <formula>AND(C4=FALSE, C4&lt;&gt;"")</formula>
    </cfRule>
    <cfRule type="cellIs" dxfId="632" priority="620" operator="equal">
      <formula>TRUE</formula>
    </cfRule>
  </conditionalFormatting>
  <conditionalFormatting sqref="C5:C19">
    <cfRule type="cellIs" dxfId="631" priority="613" operator="equal">
      <formula>"LEARN"</formula>
    </cfRule>
    <cfRule type="expression" dxfId="630" priority="614">
      <formula>"INVALID"</formula>
    </cfRule>
    <cfRule type="expression" dxfId="629" priority="615">
      <formula>AND(C5=FALSE, C5&lt;&gt;"")</formula>
    </cfRule>
    <cfRule type="cellIs" dxfId="628" priority="616" operator="equal">
      <formula>TRUE</formula>
    </cfRule>
  </conditionalFormatting>
  <conditionalFormatting sqref="D4">
    <cfRule type="cellIs" dxfId="627" priority="609" operator="equal">
      <formula>"LEARN"</formula>
    </cfRule>
    <cfRule type="expression" dxfId="626" priority="610">
      <formula>"INVALID"</formula>
    </cfRule>
    <cfRule type="expression" dxfId="625" priority="611">
      <formula>AND(D4=FALSE, D4&lt;&gt;"")</formula>
    </cfRule>
    <cfRule type="cellIs" dxfId="624" priority="612" operator="equal">
      <formula>TRUE</formula>
    </cfRule>
  </conditionalFormatting>
  <conditionalFormatting sqref="D10">
    <cfRule type="cellIs" dxfId="623" priority="605" operator="equal">
      <formula>"LEARN"</formula>
    </cfRule>
    <cfRule type="expression" dxfId="622" priority="606">
      <formula>"INVALID"</formula>
    </cfRule>
    <cfRule type="expression" dxfId="621" priority="607">
      <formula>AND(D10=FALSE, D10&lt;&gt;"")</formula>
    </cfRule>
    <cfRule type="cellIs" dxfId="620" priority="608" operator="equal">
      <formula>TRUE</formula>
    </cfRule>
  </conditionalFormatting>
  <conditionalFormatting sqref="D11">
    <cfRule type="cellIs" dxfId="619" priority="601" operator="equal">
      <formula>"LEARN"</formula>
    </cfRule>
    <cfRule type="expression" dxfId="618" priority="602">
      <formula>"INVALID"</formula>
    </cfRule>
    <cfRule type="expression" dxfId="617" priority="603">
      <formula>AND(D11=FALSE, D11&lt;&gt;"")</formula>
    </cfRule>
    <cfRule type="cellIs" dxfId="616" priority="604" operator="equal">
      <formula>TRUE</formula>
    </cfRule>
  </conditionalFormatting>
  <conditionalFormatting sqref="D12">
    <cfRule type="cellIs" dxfId="615" priority="597" operator="equal">
      <formula>"LEARN"</formula>
    </cfRule>
    <cfRule type="expression" dxfId="614" priority="598">
      <formula>"INVALID"</formula>
    </cfRule>
    <cfRule type="expression" dxfId="613" priority="599">
      <formula>AND(D12=FALSE, D12&lt;&gt;"")</formula>
    </cfRule>
    <cfRule type="cellIs" dxfId="612" priority="600" operator="equal">
      <formula>TRUE</formula>
    </cfRule>
  </conditionalFormatting>
  <conditionalFormatting sqref="D14">
    <cfRule type="cellIs" dxfId="611" priority="593" operator="equal">
      <formula>"LEARN"</formula>
    </cfRule>
    <cfRule type="expression" dxfId="610" priority="594">
      <formula>"INVALID"</formula>
    </cfRule>
    <cfRule type="expression" dxfId="609" priority="595">
      <formula>AND(D14=FALSE, D14&lt;&gt;"")</formula>
    </cfRule>
    <cfRule type="cellIs" dxfId="608" priority="596" operator="equal">
      <formula>TRUE</formula>
    </cfRule>
  </conditionalFormatting>
  <conditionalFormatting sqref="L10">
    <cfRule type="cellIs" dxfId="607" priority="589" operator="equal">
      <formula>"LEARN"</formula>
    </cfRule>
    <cfRule type="expression" dxfId="606" priority="590">
      <formula>"INVALID"</formula>
    </cfRule>
    <cfRule type="expression" dxfId="605" priority="591">
      <formula>AND(L10=FALSE, L10&lt;&gt;"")</formula>
    </cfRule>
    <cfRule type="cellIs" dxfId="604" priority="592" operator="equal">
      <formula>TRUE</formula>
    </cfRule>
  </conditionalFormatting>
  <conditionalFormatting sqref="L7:L8">
    <cfRule type="cellIs" dxfId="599" priority="581" operator="equal">
      <formula>"LEARN"</formula>
    </cfRule>
    <cfRule type="expression" dxfId="598" priority="582">
      <formula>"INVALID"</formula>
    </cfRule>
    <cfRule type="expression" dxfId="597" priority="583">
      <formula>AND(L7=FALSE, L7&lt;&gt;"")</formula>
    </cfRule>
    <cfRule type="cellIs" dxfId="596" priority="584" operator="equal">
      <formula>TRUE</formula>
    </cfRule>
  </conditionalFormatting>
  <conditionalFormatting sqref="K7">
    <cfRule type="cellIs" dxfId="595" priority="577" operator="equal">
      <formula>"LEARN"</formula>
    </cfRule>
    <cfRule type="expression" dxfId="594" priority="578">
      <formula>"INVALID"</formula>
    </cfRule>
    <cfRule type="expression" dxfId="593" priority="579">
      <formula>AND(K7=FALSE, K7&lt;&gt;"")</formula>
    </cfRule>
    <cfRule type="cellIs" dxfId="592" priority="580" operator="equal">
      <formula>TRUE</formula>
    </cfRule>
  </conditionalFormatting>
  <conditionalFormatting sqref="J7">
    <cfRule type="cellIs" dxfId="591" priority="573" operator="equal">
      <formula>"LEARN"</formula>
    </cfRule>
    <cfRule type="expression" dxfId="590" priority="574">
      <formula>"INVALID"</formula>
    </cfRule>
    <cfRule type="expression" dxfId="589" priority="575">
      <formula>AND(J7=FALSE, J7&lt;&gt;"")</formula>
    </cfRule>
    <cfRule type="cellIs" dxfId="588" priority="576" operator="equal">
      <formula>TRUE</formula>
    </cfRule>
  </conditionalFormatting>
  <conditionalFormatting sqref="I7">
    <cfRule type="cellIs" dxfId="587" priority="569" operator="equal">
      <formula>"LEARN"</formula>
    </cfRule>
    <cfRule type="expression" dxfId="586" priority="570">
      <formula>"INVALID"</formula>
    </cfRule>
    <cfRule type="expression" dxfId="585" priority="571">
      <formula>AND(I7=FALSE, I7&lt;&gt;"")</formula>
    </cfRule>
    <cfRule type="cellIs" dxfId="584" priority="572" operator="equal">
      <formula>TRUE</formula>
    </cfRule>
  </conditionalFormatting>
  <conditionalFormatting sqref="I8">
    <cfRule type="cellIs" dxfId="583" priority="565" operator="equal">
      <formula>"LEARN"</formula>
    </cfRule>
    <cfRule type="expression" dxfId="582" priority="566">
      <formula>"INVALID"</formula>
    </cfRule>
    <cfRule type="expression" dxfId="581" priority="567">
      <formula>AND(I8=FALSE, I8&lt;&gt;"")</formula>
    </cfRule>
    <cfRule type="cellIs" dxfId="580" priority="568" operator="equal">
      <formula>TRUE</formula>
    </cfRule>
  </conditionalFormatting>
  <conditionalFormatting sqref="I4">
    <cfRule type="cellIs" dxfId="579" priority="561" operator="equal">
      <formula>"LEARN"</formula>
    </cfRule>
    <cfRule type="expression" dxfId="578" priority="562">
      <formula>"INVALID"</formula>
    </cfRule>
    <cfRule type="expression" dxfId="577" priority="563">
      <formula>AND(I4=FALSE, I4&lt;&gt;"")</formula>
    </cfRule>
    <cfRule type="cellIs" dxfId="576" priority="564" operator="equal">
      <formula>TRUE</formula>
    </cfRule>
  </conditionalFormatting>
  <conditionalFormatting sqref="H4">
    <cfRule type="cellIs" dxfId="575" priority="557" operator="equal">
      <formula>"LEARN"</formula>
    </cfRule>
    <cfRule type="expression" dxfId="574" priority="558">
      <formula>"INVALID"</formula>
    </cfRule>
    <cfRule type="expression" dxfId="573" priority="559">
      <formula>AND(H4=FALSE, H4&lt;&gt;"")</formula>
    </cfRule>
    <cfRule type="cellIs" dxfId="572" priority="560" operator="equal">
      <formula>TRUE</formula>
    </cfRule>
  </conditionalFormatting>
  <conditionalFormatting sqref="G7">
    <cfRule type="cellIs" dxfId="571" priority="553" operator="equal">
      <formula>"LEARN"</formula>
    </cfRule>
    <cfRule type="expression" dxfId="570" priority="554">
      <formula>"INVALID"</formula>
    </cfRule>
    <cfRule type="expression" dxfId="569" priority="555">
      <formula>AND(G7=FALSE, G7&lt;&gt;"")</formula>
    </cfRule>
    <cfRule type="cellIs" dxfId="568" priority="556" operator="equal">
      <formula>TRUE</formula>
    </cfRule>
  </conditionalFormatting>
  <conditionalFormatting sqref="E4">
    <cfRule type="cellIs" dxfId="567" priority="549" operator="equal">
      <formula>"LEARN"</formula>
    </cfRule>
    <cfRule type="expression" dxfId="566" priority="550">
      <formula>"INVALID"</formula>
    </cfRule>
    <cfRule type="expression" dxfId="565" priority="551">
      <formula>AND(E4=FALSE, E4&lt;&gt;"")</formula>
    </cfRule>
    <cfRule type="cellIs" dxfId="564" priority="552" operator="equal">
      <formula>TRUE</formula>
    </cfRule>
  </conditionalFormatting>
  <conditionalFormatting sqref="E5">
    <cfRule type="cellIs" dxfId="563" priority="545" operator="equal">
      <formula>"LEARN"</formula>
    </cfRule>
    <cfRule type="expression" dxfId="562" priority="546">
      <formula>"INVALID"</formula>
    </cfRule>
    <cfRule type="expression" dxfId="561" priority="547">
      <formula>AND(E5=FALSE, E5&lt;&gt;"")</formula>
    </cfRule>
    <cfRule type="cellIs" dxfId="560" priority="548" operator="equal">
      <formula>TRUE</formula>
    </cfRule>
  </conditionalFormatting>
  <conditionalFormatting sqref="E6">
    <cfRule type="cellIs" dxfId="559" priority="541" operator="equal">
      <formula>"LEARN"</formula>
    </cfRule>
    <cfRule type="expression" dxfId="558" priority="542">
      <formula>"INVALID"</formula>
    </cfRule>
    <cfRule type="expression" dxfId="557" priority="543">
      <formula>AND(E6=FALSE, E6&lt;&gt;"")</formula>
    </cfRule>
    <cfRule type="cellIs" dxfId="556" priority="544" operator="equal">
      <formula>TRUE</formula>
    </cfRule>
  </conditionalFormatting>
  <conditionalFormatting sqref="E7">
    <cfRule type="cellIs" dxfId="555" priority="537" operator="equal">
      <formula>"LEARN"</formula>
    </cfRule>
    <cfRule type="expression" dxfId="554" priority="538">
      <formula>"INVALID"</formula>
    </cfRule>
    <cfRule type="expression" dxfId="553" priority="539">
      <formula>AND(E7=FALSE, E7&lt;&gt;"")</formula>
    </cfRule>
    <cfRule type="cellIs" dxfId="552" priority="540" operator="equal">
      <formula>TRUE</formula>
    </cfRule>
  </conditionalFormatting>
  <conditionalFormatting sqref="E8">
    <cfRule type="cellIs" dxfId="551" priority="533" operator="equal">
      <formula>"LEARN"</formula>
    </cfRule>
    <cfRule type="expression" dxfId="550" priority="534">
      <formula>"INVALID"</formula>
    </cfRule>
    <cfRule type="expression" dxfId="549" priority="535">
      <formula>AND(E8=FALSE, E8&lt;&gt;"")</formula>
    </cfRule>
    <cfRule type="cellIs" dxfId="548" priority="536" operator="equal">
      <formula>TRUE</formula>
    </cfRule>
  </conditionalFormatting>
  <conditionalFormatting sqref="E9">
    <cfRule type="cellIs" dxfId="547" priority="529" operator="equal">
      <formula>"LEARN"</formula>
    </cfRule>
    <cfRule type="expression" dxfId="546" priority="530">
      <formula>"INVALID"</formula>
    </cfRule>
    <cfRule type="expression" dxfId="545" priority="531">
      <formula>AND(E9=FALSE, E9&lt;&gt;"")</formula>
    </cfRule>
    <cfRule type="cellIs" dxfId="544" priority="532" operator="equal">
      <formula>TRUE</formula>
    </cfRule>
  </conditionalFormatting>
  <conditionalFormatting sqref="E11">
    <cfRule type="cellIs" dxfId="543" priority="525" operator="equal">
      <formula>"LEARN"</formula>
    </cfRule>
    <cfRule type="expression" dxfId="542" priority="526">
      <formula>"INVALID"</formula>
    </cfRule>
    <cfRule type="expression" dxfId="541" priority="527">
      <formula>AND(E11=FALSE, E11&lt;&gt;"")</formula>
    </cfRule>
    <cfRule type="cellIs" dxfId="540" priority="528" operator="equal">
      <formula>TRUE</formula>
    </cfRule>
  </conditionalFormatting>
  <conditionalFormatting sqref="E13">
    <cfRule type="cellIs" dxfId="539" priority="521" operator="equal">
      <formula>"LEARN"</formula>
    </cfRule>
    <cfRule type="expression" dxfId="538" priority="522">
      <formula>"INVALID"</formula>
    </cfRule>
    <cfRule type="expression" dxfId="537" priority="523">
      <formula>AND(E13=FALSE, E13&lt;&gt;"")</formula>
    </cfRule>
    <cfRule type="cellIs" dxfId="536" priority="524" operator="equal">
      <formula>TRUE</formula>
    </cfRule>
  </conditionalFormatting>
  <conditionalFormatting sqref="E14">
    <cfRule type="cellIs" dxfId="535" priority="517" operator="equal">
      <formula>"LEARN"</formula>
    </cfRule>
    <cfRule type="expression" dxfId="534" priority="518">
      <formula>"INVALID"</formula>
    </cfRule>
    <cfRule type="expression" dxfId="533" priority="519">
      <formula>AND(E14=FALSE, E14&lt;&gt;"")</formula>
    </cfRule>
    <cfRule type="cellIs" dxfId="532" priority="520" operator="equal">
      <formula>TRUE</formula>
    </cfRule>
  </conditionalFormatting>
  <conditionalFormatting sqref="E16">
    <cfRule type="cellIs" dxfId="531" priority="513" operator="equal">
      <formula>"LEARN"</formula>
    </cfRule>
    <cfRule type="expression" dxfId="530" priority="514">
      <formula>"INVALID"</formula>
    </cfRule>
    <cfRule type="expression" dxfId="529" priority="515">
      <formula>AND(E16=FALSE, E16&lt;&gt;"")</formula>
    </cfRule>
    <cfRule type="cellIs" dxfId="528" priority="516" operator="equal">
      <formula>TRUE</formula>
    </cfRule>
  </conditionalFormatting>
  <conditionalFormatting sqref="D16">
    <cfRule type="cellIs" dxfId="527" priority="509" operator="equal">
      <formula>"LEARN"</formula>
    </cfRule>
    <cfRule type="expression" dxfId="526" priority="510">
      <formula>"INVALID"</formula>
    </cfRule>
    <cfRule type="expression" dxfId="525" priority="511">
      <formula>AND(D16=FALSE, D16&lt;&gt;"")</formula>
    </cfRule>
    <cfRule type="cellIs" dxfId="524" priority="512" operator="equal">
      <formula>TRUE</formula>
    </cfRule>
  </conditionalFormatting>
  <conditionalFormatting sqref="D17">
    <cfRule type="cellIs" dxfId="523" priority="505" operator="equal">
      <formula>"LEARN"</formula>
    </cfRule>
    <cfRule type="expression" dxfId="522" priority="506">
      <formula>"INVALID"</formula>
    </cfRule>
    <cfRule type="expression" dxfId="521" priority="507">
      <formula>AND(D17=FALSE, D17&lt;&gt;"")</formula>
    </cfRule>
    <cfRule type="cellIs" dxfId="520" priority="508" operator="equal">
      <formula>TRUE</formula>
    </cfRule>
  </conditionalFormatting>
  <conditionalFormatting sqref="D18">
    <cfRule type="cellIs" dxfId="519" priority="501" operator="equal">
      <formula>"LEARN"</formula>
    </cfRule>
    <cfRule type="expression" dxfId="518" priority="502">
      <formula>"INVALID"</formula>
    </cfRule>
    <cfRule type="expression" dxfId="517" priority="503">
      <formula>AND(D18=FALSE, D18&lt;&gt;"")</formula>
    </cfRule>
    <cfRule type="cellIs" dxfId="516" priority="504" operator="equal">
      <formula>TRUE</formula>
    </cfRule>
  </conditionalFormatting>
  <conditionalFormatting sqref="D19">
    <cfRule type="cellIs" dxfId="515" priority="497" operator="equal">
      <formula>"LEARN"</formula>
    </cfRule>
    <cfRule type="expression" dxfId="514" priority="498">
      <formula>"INVALID"</formula>
    </cfRule>
    <cfRule type="expression" dxfId="513" priority="499">
      <formula>AND(D19=FALSE, D19&lt;&gt;"")</formula>
    </cfRule>
    <cfRule type="cellIs" dxfId="512" priority="500" operator="equal">
      <formula>TRUE</formula>
    </cfRule>
  </conditionalFormatting>
  <conditionalFormatting sqref="E19">
    <cfRule type="cellIs" dxfId="511" priority="493" operator="equal">
      <formula>"LEARN"</formula>
    </cfRule>
    <cfRule type="expression" dxfId="510" priority="494">
      <formula>"INVALID"</formula>
    </cfRule>
    <cfRule type="expression" dxfId="509" priority="495">
      <formula>AND(E19=FALSE, E19&lt;&gt;"")</formula>
    </cfRule>
    <cfRule type="cellIs" dxfId="508" priority="496" operator="equal">
      <formula>TRUE</formula>
    </cfRule>
  </conditionalFormatting>
  <conditionalFormatting sqref="E18">
    <cfRule type="cellIs" dxfId="507" priority="489" operator="equal">
      <formula>"LEARN"</formula>
    </cfRule>
    <cfRule type="expression" dxfId="506" priority="490">
      <formula>"INVALID"</formula>
    </cfRule>
    <cfRule type="expression" dxfId="505" priority="491">
      <formula>AND(E18=FALSE, E18&lt;&gt;"")</formula>
    </cfRule>
    <cfRule type="cellIs" dxfId="504" priority="492" operator="equal">
      <formula>TRUE</formula>
    </cfRule>
  </conditionalFormatting>
  <conditionalFormatting sqref="F19">
    <cfRule type="cellIs" dxfId="503" priority="485" operator="equal">
      <formula>"LEARN"</formula>
    </cfRule>
    <cfRule type="expression" dxfId="502" priority="486">
      <formula>"INVALID"</formula>
    </cfRule>
    <cfRule type="expression" dxfId="501" priority="487">
      <formula>AND(F19=FALSE, F19&lt;&gt;"")</formula>
    </cfRule>
    <cfRule type="cellIs" dxfId="500" priority="488" operator="equal">
      <formula>TRUE</formula>
    </cfRule>
  </conditionalFormatting>
  <conditionalFormatting sqref="F15">
    <cfRule type="cellIs" dxfId="499" priority="481" operator="equal">
      <formula>"LEARN"</formula>
    </cfRule>
    <cfRule type="expression" dxfId="498" priority="482">
      <formula>"INVALID"</formula>
    </cfRule>
    <cfRule type="expression" dxfId="497" priority="483">
      <formula>AND(F15=FALSE, F15&lt;&gt;"")</formula>
    </cfRule>
    <cfRule type="cellIs" dxfId="496" priority="484" operator="equal">
      <formula>TRUE</formula>
    </cfRule>
  </conditionalFormatting>
  <conditionalFormatting sqref="F14">
    <cfRule type="cellIs" dxfId="495" priority="477" operator="equal">
      <formula>"LEARN"</formula>
    </cfRule>
    <cfRule type="expression" dxfId="494" priority="478">
      <formula>"INVALID"</formula>
    </cfRule>
    <cfRule type="expression" dxfId="493" priority="479">
      <formula>AND(F14=FALSE, F14&lt;&gt;"")</formula>
    </cfRule>
    <cfRule type="cellIs" dxfId="492" priority="480" operator="equal">
      <formula>TRUE</formula>
    </cfRule>
  </conditionalFormatting>
  <conditionalFormatting sqref="F10">
    <cfRule type="cellIs" dxfId="491" priority="473" operator="equal">
      <formula>"LEARN"</formula>
    </cfRule>
    <cfRule type="expression" dxfId="490" priority="474">
      <formula>"INVALID"</formula>
    </cfRule>
    <cfRule type="expression" dxfId="489" priority="475">
      <formula>AND(F10=FALSE, F10&lt;&gt;"")</formula>
    </cfRule>
    <cfRule type="cellIs" dxfId="488" priority="476" operator="equal">
      <formula>TRUE</formula>
    </cfRule>
  </conditionalFormatting>
  <conditionalFormatting sqref="F9">
    <cfRule type="cellIs" dxfId="487" priority="469" operator="equal">
      <formula>"LEARN"</formula>
    </cfRule>
    <cfRule type="expression" dxfId="486" priority="470">
      <formula>"INVALID"</formula>
    </cfRule>
    <cfRule type="expression" dxfId="485" priority="471">
      <formula>AND(F9=FALSE, F9&lt;&gt;"")</formula>
    </cfRule>
    <cfRule type="cellIs" dxfId="484" priority="472" operator="equal">
      <formula>TRUE</formula>
    </cfRule>
  </conditionalFormatting>
  <conditionalFormatting sqref="F8">
    <cfRule type="cellIs" dxfId="483" priority="465" operator="equal">
      <formula>"LEARN"</formula>
    </cfRule>
    <cfRule type="expression" dxfId="482" priority="466">
      <formula>"INVALID"</formula>
    </cfRule>
    <cfRule type="expression" dxfId="481" priority="467">
      <formula>AND(F8=FALSE, F8&lt;&gt;"")</formula>
    </cfRule>
    <cfRule type="cellIs" dxfId="480" priority="468" operator="equal">
      <formula>TRUE</formula>
    </cfRule>
  </conditionalFormatting>
  <conditionalFormatting sqref="F7">
    <cfRule type="cellIs" dxfId="479" priority="461" operator="equal">
      <formula>"LEARN"</formula>
    </cfRule>
    <cfRule type="expression" dxfId="478" priority="462">
      <formula>"INVALID"</formula>
    </cfRule>
    <cfRule type="expression" dxfId="477" priority="463">
      <formula>AND(F7=FALSE, F7&lt;&gt;"")</formula>
    </cfRule>
    <cfRule type="cellIs" dxfId="476" priority="464" operator="equal">
      <formula>TRUE</formula>
    </cfRule>
  </conditionalFormatting>
  <conditionalFormatting sqref="F6">
    <cfRule type="cellIs" dxfId="475" priority="457" operator="equal">
      <formula>"LEARN"</formula>
    </cfRule>
    <cfRule type="expression" dxfId="474" priority="458">
      <formula>"INVALID"</formula>
    </cfRule>
    <cfRule type="expression" dxfId="473" priority="459">
      <formula>AND(F6=FALSE, F6&lt;&gt;"")</formula>
    </cfRule>
    <cfRule type="cellIs" dxfId="472" priority="460" operator="equal">
      <formula>TRUE</formula>
    </cfRule>
  </conditionalFormatting>
  <conditionalFormatting sqref="F5">
    <cfRule type="cellIs" dxfId="471" priority="453" operator="equal">
      <formula>"LEARN"</formula>
    </cfRule>
    <cfRule type="expression" dxfId="470" priority="454">
      <formula>"INVALID"</formula>
    </cfRule>
    <cfRule type="expression" dxfId="469" priority="455">
      <formula>AND(F5=FALSE, F5&lt;&gt;"")</formula>
    </cfRule>
    <cfRule type="cellIs" dxfId="468" priority="456" operator="equal">
      <formula>TRUE</formula>
    </cfRule>
  </conditionalFormatting>
  <conditionalFormatting sqref="G10">
    <cfRule type="cellIs" dxfId="467" priority="449" operator="equal">
      <formula>"LEARN"</formula>
    </cfRule>
    <cfRule type="expression" dxfId="466" priority="450">
      <formula>"INVALID"</formula>
    </cfRule>
    <cfRule type="expression" dxfId="465" priority="451">
      <formula>AND(G10=FALSE, G10&lt;&gt;"")</formula>
    </cfRule>
    <cfRule type="cellIs" dxfId="464" priority="452" operator="equal">
      <formula>TRUE</formula>
    </cfRule>
  </conditionalFormatting>
  <conditionalFormatting sqref="G13">
    <cfRule type="cellIs" dxfId="463" priority="445" operator="equal">
      <formula>"LEARN"</formula>
    </cfRule>
    <cfRule type="expression" dxfId="462" priority="446">
      <formula>"INVALID"</formula>
    </cfRule>
    <cfRule type="expression" dxfId="461" priority="447">
      <formula>AND(G13=FALSE, G13&lt;&gt;"")</formula>
    </cfRule>
    <cfRule type="cellIs" dxfId="460" priority="448" operator="equal">
      <formula>TRUE</formula>
    </cfRule>
  </conditionalFormatting>
  <conditionalFormatting sqref="G19">
    <cfRule type="cellIs" dxfId="459" priority="441" operator="equal">
      <formula>"LEARN"</formula>
    </cfRule>
    <cfRule type="expression" dxfId="458" priority="442">
      <formula>"INVALID"</formula>
    </cfRule>
    <cfRule type="expression" dxfId="457" priority="443">
      <formula>AND(G19=FALSE, G19&lt;&gt;"")</formula>
    </cfRule>
    <cfRule type="cellIs" dxfId="456" priority="444" operator="equal">
      <formula>TRUE</formula>
    </cfRule>
  </conditionalFormatting>
  <conditionalFormatting sqref="G20">
    <cfRule type="cellIs" dxfId="455" priority="437" operator="equal">
      <formula>"LEARN"</formula>
    </cfRule>
    <cfRule type="expression" dxfId="454" priority="438">
      <formula>"INVALID"</formula>
    </cfRule>
    <cfRule type="expression" dxfId="453" priority="439">
      <formula>AND(G20=FALSE, G20&lt;&gt;"")</formula>
    </cfRule>
    <cfRule type="cellIs" dxfId="452" priority="440" operator="equal">
      <formula>TRUE</formula>
    </cfRule>
  </conditionalFormatting>
  <conditionalFormatting sqref="H19">
    <cfRule type="cellIs" dxfId="451" priority="433" operator="equal">
      <formula>"LEARN"</formula>
    </cfRule>
    <cfRule type="expression" dxfId="450" priority="434">
      <formula>"INVALID"</formula>
    </cfRule>
    <cfRule type="expression" dxfId="449" priority="435">
      <formula>AND(H19=FALSE, H19&lt;&gt;"")</formula>
    </cfRule>
    <cfRule type="cellIs" dxfId="448" priority="436" operator="equal">
      <formula>TRUE</formula>
    </cfRule>
  </conditionalFormatting>
  <conditionalFormatting sqref="H18">
    <cfRule type="cellIs" dxfId="447" priority="429" operator="equal">
      <formula>"LEARN"</formula>
    </cfRule>
    <cfRule type="expression" dxfId="446" priority="430">
      <formula>"INVALID"</formula>
    </cfRule>
    <cfRule type="expression" dxfId="445" priority="431">
      <formula>AND(H18=FALSE, H18&lt;&gt;"")</formula>
    </cfRule>
    <cfRule type="cellIs" dxfId="444" priority="432" operator="equal">
      <formula>TRUE</formula>
    </cfRule>
  </conditionalFormatting>
  <conditionalFormatting sqref="H17">
    <cfRule type="cellIs" dxfId="443" priority="425" operator="equal">
      <formula>"LEARN"</formula>
    </cfRule>
    <cfRule type="expression" dxfId="442" priority="426">
      <formula>"INVALID"</formula>
    </cfRule>
    <cfRule type="expression" dxfId="441" priority="427">
      <formula>AND(H17=FALSE, H17&lt;&gt;"")</formula>
    </cfRule>
    <cfRule type="cellIs" dxfId="440" priority="428" operator="equal">
      <formula>TRUE</formula>
    </cfRule>
  </conditionalFormatting>
  <conditionalFormatting sqref="H16">
    <cfRule type="cellIs" dxfId="439" priority="421" operator="equal">
      <formula>"LEARN"</formula>
    </cfRule>
    <cfRule type="expression" dxfId="438" priority="422">
      <formula>"INVALID"</formula>
    </cfRule>
    <cfRule type="expression" dxfId="437" priority="423">
      <formula>AND(H16=FALSE, H16&lt;&gt;"")</formula>
    </cfRule>
    <cfRule type="cellIs" dxfId="436" priority="424" operator="equal">
      <formula>TRUE</formula>
    </cfRule>
  </conditionalFormatting>
  <conditionalFormatting sqref="H14">
    <cfRule type="cellIs" dxfId="435" priority="417" operator="equal">
      <formula>"LEARN"</formula>
    </cfRule>
    <cfRule type="expression" dxfId="434" priority="418">
      <formula>"INVALID"</formula>
    </cfRule>
    <cfRule type="expression" dxfId="433" priority="419">
      <formula>AND(H14=FALSE, H14&lt;&gt;"")</formula>
    </cfRule>
    <cfRule type="cellIs" dxfId="432" priority="420" operator="equal">
      <formula>TRUE</formula>
    </cfRule>
  </conditionalFormatting>
  <conditionalFormatting sqref="H11">
    <cfRule type="cellIs" dxfId="431" priority="413" operator="equal">
      <formula>"LEARN"</formula>
    </cfRule>
    <cfRule type="expression" dxfId="430" priority="414">
      <formula>"INVALID"</formula>
    </cfRule>
    <cfRule type="expression" dxfId="429" priority="415">
      <formula>AND(H11=FALSE, H11&lt;&gt;"")</formula>
    </cfRule>
    <cfRule type="cellIs" dxfId="428" priority="416" operator="equal">
      <formula>TRUE</formula>
    </cfRule>
  </conditionalFormatting>
  <conditionalFormatting sqref="H10">
    <cfRule type="cellIs" dxfId="427" priority="409" operator="equal">
      <formula>"LEARN"</formula>
    </cfRule>
    <cfRule type="expression" dxfId="426" priority="410">
      <formula>"INVALID"</formula>
    </cfRule>
    <cfRule type="expression" dxfId="425" priority="411">
      <formula>AND(H10=FALSE, H10&lt;&gt;"")</formula>
    </cfRule>
    <cfRule type="cellIs" dxfId="424" priority="412" operator="equal">
      <formula>TRUE</formula>
    </cfRule>
  </conditionalFormatting>
  <conditionalFormatting sqref="I10">
    <cfRule type="cellIs" dxfId="423" priority="405" operator="equal">
      <formula>"LEARN"</formula>
    </cfRule>
    <cfRule type="expression" dxfId="422" priority="406">
      <formula>"INVALID"</formula>
    </cfRule>
    <cfRule type="expression" dxfId="421" priority="407">
      <formula>AND(I10=FALSE, I10&lt;&gt;"")</formula>
    </cfRule>
    <cfRule type="cellIs" dxfId="420" priority="408" operator="equal">
      <formula>TRUE</formula>
    </cfRule>
  </conditionalFormatting>
  <conditionalFormatting sqref="I12">
    <cfRule type="cellIs" dxfId="419" priority="401" operator="equal">
      <formula>"LEARN"</formula>
    </cfRule>
    <cfRule type="expression" dxfId="418" priority="402">
      <formula>"INVALID"</formula>
    </cfRule>
    <cfRule type="expression" dxfId="417" priority="403">
      <formula>AND(I12=FALSE, I12&lt;&gt;"")</formula>
    </cfRule>
    <cfRule type="cellIs" dxfId="416" priority="404" operator="equal">
      <formula>TRUE</formula>
    </cfRule>
  </conditionalFormatting>
  <conditionalFormatting sqref="I13">
    <cfRule type="cellIs" dxfId="415" priority="397" operator="equal">
      <formula>"LEARN"</formula>
    </cfRule>
    <cfRule type="expression" dxfId="414" priority="398">
      <formula>"INVALID"</formula>
    </cfRule>
    <cfRule type="expression" dxfId="413" priority="399">
      <formula>AND(I13=FALSE, I13&lt;&gt;"")</formula>
    </cfRule>
    <cfRule type="cellIs" dxfId="412" priority="400" operator="equal">
      <formula>TRUE</formula>
    </cfRule>
  </conditionalFormatting>
  <conditionalFormatting sqref="I16">
    <cfRule type="cellIs" dxfId="411" priority="393" operator="equal">
      <formula>"LEARN"</formula>
    </cfRule>
    <cfRule type="expression" dxfId="410" priority="394">
      <formula>"INVALID"</formula>
    </cfRule>
    <cfRule type="expression" dxfId="409" priority="395">
      <formula>AND(I16=FALSE, I16&lt;&gt;"")</formula>
    </cfRule>
    <cfRule type="cellIs" dxfId="408" priority="396" operator="equal">
      <formula>TRUE</formula>
    </cfRule>
  </conditionalFormatting>
  <conditionalFormatting sqref="I17">
    <cfRule type="cellIs" dxfId="403" priority="389" operator="equal">
      <formula>"LEARN"</formula>
    </cfRule>
    <cfRule type="expression" dxfId="402" priority="390">
      <formula>"INVALID"</formula>
    </cfRule>
    <cfRule type="expression" dxfId="401" priority="391">
      <formula>AND(I17=FALSE, I17&lt;&gt;"")</formula>
    </cfRule>
    <cfRule type="cellIs" dxfId="400" priority="392" operator="equal">
      <formula>TRUE</formula>
    </cfRule>
  </conditionalFormatting>
  <conditionalFormatting sqref="I19">
    <cfRule type="cellIs" dxfId="399" priority="385" operator="equal">
      <formula>"LEARN"</formula>
    </cfRule>
    <cfRule type="expression" dxfId="398" priority="386">
      <formula>"INVALID"</formula>
    </cfRule>
    <cfRule type="expression" dxfId="397" priority="387">
      <formula>AND(I19=FALSE, I19&lt;&gt;"")</formula>
    </cfRule>
    <cfRule type="cellIs" dxfId="396" priority="388" operator="equal">
      <formula>TRUE</formula>
    </cfRule>
  </conditionalFormatting>
  <conditionalFormatting sqref="J19">
    <cfRule type="cellIs" dxfId="395" priority="381" operator="equal">
      <formula>"LEARN"</formula>
    </cfRule>
    <cfRule type="expression" dxfId="394" priority="382">
      <formula>"INVALID"</formula>
    </cfRule>
    <cfRule type="expression" dxfId="393" priority="383">
      <formula>AND(J19=FALSE, J19&lt;&gt;"")</formula>
    </cfRule>
    <cfRule type="cellIs" dxfId="392" priority="384" operator="equal">
      <formula>TRUE</formula>
    </cfRule>
  </conditionalFormatting>
  <conditionalFormatting sqref="J20">
    <cfRule type="cellIs" dxfId="391" priority="377" operator="equal">
      <formula>"LEARN"</formula>
    </cfRule>
    <cfRule type="expression" dxfId="390" priority="378">
      <formula>"INVALID"</formula>
    </cfRule>
    <cfRule type="expression" dxfId="389" priority="379">
      <formula>AND(J20=FALSE, J20&lt;&gt;"")</formula>
    </cfRule>
    <cfRule type="cellIs" dxfId="388" priority="380" operator="equal">
      <formula>TRUE</formula>
    </cfRule>
  </conditionalFormatting>
  <conditionalFormatting sqref="K20">
    <cfRule type="cellIs" dxfId="387" priority="373" operator="equal">
      <formula>"LEARN"</formula>
    </cfRule>
    <cfRule type="expression" dxfId="386" priority="374">
      <formula>"INVALID"</formula>
    </cfRule>
    <cfRule type="expression" dxfId="385" priority="375">
      <formula>AND(K20=FALSE, K20&lt;&gt;"")</formula>
    </cfRule>
    <cfRule type="cellIs" dxfId="384" priority="376" operator="equal">
      <formula>TRUE</formula>
    </cfRule>
  </conditionalFormatting>
  <conditionalFormatting sqref="K19">
    <cfRule type="cellIs" dxfId="383" priority="369" operator="equal">
      <formula>"LEARN"</formula>
    </cfRule>
    <cfRule type="expression" dxfId="382" priority="370">
      <formula>"INVALID"</formula>
    </cfRule>
    <cfRule type="expression" dxfId="381" priority="371">
      <formula>AND(K19=FALSE, K19&lt;&gt;"")</formula>
    </cfRule>
    <cfRule type="cellIs" dxfId="380" priority="372" operator="equal">
      <formula>TRUE</formula>
    </cfRule>
  </conditionalFormatting>
  <conditionalFormatting sqref="L19">
    <cfRule type="cellIs" dxfId="379" priority="365" operator="equal">
      <formula>"LEARN"</formula>
    </cfRule>
    <cfRule type="expression" dxfId="378" priority="366">
      <formula>"INVALID"</formula>
    </cfRule>
    <cfRule type="expression" dxfId="377" priority="367">
      <formula>AND(L19=FALSE, L19&lt;&gt;"")</formula>
    </cfRule>
    <cfRule type="cellIs" dxfId="376" priority="368" operator="equal">
      <formula>TRUE</formula>
    </cfRule>
  </conditionalFormatting>
  <conditionalFormatting sqref="L17">
    <cfRule type="cellIs" dxfId="375" priority="361" operator="equal">
      <formula>"LEARN"</formula>
    </cfRule>
    <cfRule type="expression" dxfId="374" priority="362">
      <formula>"INVALID"</formula>
    </cfRule>
    <cfRule type="expression" dxfId="373" priority="363">
      <formula>AND(L17=FALSE, L17&lt;&gt;"")</formula>
    </cfRule>
    <cfRule type="cellIs" dxfId="372" priority="364" operator="equal">
      <formula>TRUE</formula>
    </cfRule>
  </conditionalFormatting>
  <conditionalFormatting sqref="L13">
    <cfRule type="cellIs" dxfId="371" priority="357" operator="equal">
      <formula>"LEARN"</formula>
    </cfRule>
    <cfRule type="expression" dxfId="370" priority="358">
      <formula>"INVALID"</formula>
    </cfRule>
    <cfRule type="expression" dxfId="369" priority="359">
      <formula>AND(L13=FALSE, L13&lt;&gt;"")</formula>
    </cfRule>
    <cfRule type="cellIs" dxfId="368" priority="360" operator="equal">
      <formula>TRUE</formula>
    </cfRule>
  </conditionalFormatting>
  <conditionalFormatting sqref="K13">
    <cfRule type="cellIs" dxfId="367" priority="353" operator="equal">
      <formula>"LEARN"</formula>
    </cfRule>
    <cfRule type="expression" dxfId="366" priority="354">
      <formula>"INVALID"</formula>
    </cfRule>
    <cfRule type="expression" dxfId="365" priority="355">
      <formula>AND(K13=FALSE, K13&lt;&gt;"")</formula>
    </cfRule>
    <cfRule type="cellIs" dxfId="364" priority="356" operator="equal">
      <formula>TRUE</formula>
    </cfRule>
  </conditionalFormatting>
  <conditionalFormatting sqref="J13">
    <cfRule type="cellIs" dxfId="363" priority="349" operator="equal">
      <formula>"LEARN"</formula>
    </cfRule>
    <cfRule type="expression" dxfId="362" priority="350">
      <formula>"INVALID"</formula>
    </cfRule>
    <cfRule type="expression" dxfId="361" priority="351">
      <formula>AND(J13=FALSE, J13&lt;&gt;"")</formula>
    </cfRule>
    <cfRule type="cellIs" dxfId="360" priority="352" operator="equal">
      <formula>TRUE</formula>
    </cfRule>
  </conditionalFormatting>
  <conditionalFormatting sqref="J14">
    <cfRule type="cellIs" dxfId="359" priority="345" operator="equal">
      <formula>"LEARN"</formula>
    </cfRule>
    <cfRule type="expression" dxfId="358" priority="346">
      <formula>"INVALID"</formula>
    </cfRule>
    <cfRule type="expression" dxfId="357" priority="347">
      <formula>AND(J14=FALSE, J14&lt;&gt;"")</formula>
    </cfRule>
    <cfRule type="cellIs" dxfId="356" priority="348" operator="equal">
      <formula>TRUE</formula>
    </cfRule>
  </conditionalFormatting>
  <conditionalFormatting sqref="K14">
    <cfRule type="cellIs" dxfId="355" priority="341" operator="equal">
      <formula>"LEARN"</formula>
    </cfRule>
    <cfRule type="expression" dxfId="354" priority="342">
      <formula>"INVALID"</formula>
    </cfRule>
    <cfRule type="expression" dxfId="353" priority="343">
      <formula>AND(K14=FALSE, K14&lt;&gt;"")</formula>
    </cfRule>
    <cfRule type="cellIs" dxfId="352" priority="344" operator="equal">
      <formula>TRUE</formula>
    </cfRule>
  </conditionalFormatting>
  <conditionalFormatting sqref="D5">
    <cfRule type="cellIs" dxfId="351" priority="337" operator="equal">
      <formula>"LEARN"</formula>
    </cfRule>
    <cfRule type="expression" dxfId="350" priority="338">
      <formula>"INVALID"</formula>
    </cfRule>
    <cfRule type="expression" dxfId="349" priority="339">
      <formula>AND(D5=FALSE, D5&lt;&gt;"")</formula>
    </cfRule>
    <cfRule type="cellIs" dxfId="348" priority="340" operator="equal">
      <formula>TRUE</formula>
    </cfRule>
  </conditionalFormatting>
  <conditionalFormatting sqref="D6">
    <cfRule type="cellIs" dxfId="347" priority="333" operator="equal">
      <formula>"LEARN"</formula>
    </cfRule>
    <cfRule type="expression" dxfId="346" priority="334">
      <formula>"INVALID"</formula>
    </cfRule>
    <cfRule type="expression" dxfId="345" priority="335">
      <formula>AND(D6=FALSE, D6&lt;&gt;"")</formula>
    </cfRule>
    <cfRule type="cellIs" dxfId="344" priority="336" operator="equal">
      <formula>TRUE</formula>
    </cfRule>
  </conditionalFormatting>
  <conditionalFormatting sqref="D7">
    <cfRule type="cellIs" dxfId="343" priority="329" operator="equal">
      <formula>"LEARN"</formula>
    </cfRule>
    <cfRule type="expression" dxfId="342" priority="330">
      <formula>"INVALID"</formula>
    </cfRule>
    <cfRule type="expression" dxfId="341" priority="331">
      <formula>AND(D7=FALSE, D7&lt;&gt;"")</formula>
    </cfRule>
    <cfRule type="cellIs" dxfId="340" priority="332" operator="equal">
      <formula>TRUE</formula>
    </cfRule>
  </conditionalFormatting>
  <conditionalFormatting sqref="D8">
    <cfRule type="cellIs" dxfId="339" priority="325" operator="equal">
      <formula>"LEARN"</formula>
    </cfRule>
    <cfRule type="expression" dxfId="338" priority="326">
      <formula>"INVALID"</formula>
    </cfRule>
    <cfRule type="expression" dxfId="337" priority="327">
      <formula>AND(D8=FALSE, D8&lt;&gt;"")</formula>
    </cfRule>
    <cfRule type="cellIs" dxfId="336" priority="328" operator="equal">
      <formula>TRUE</formula>
    </cfRule>
  </conditionalFormatting>
  <conditionalFormatting sqref="D9">
    <cfRule type="cellIs" dxfId="335" priority="321" operator="equal">
      <formula>"LEARN"</formula>
    </cfRule>
    <cfRule type="expression" dxfId="334" priority="322">
      <formula>"INVALID"</formula>
    </cfRule>
    <cfRule type="expression" dxfId="333" priority="323">
      <formula>AND(D9=FALSE, D9&lt;&gt;"")</formula>
    </cfRule>
    <cfRule type="cellIs" dxfId="332" priority="324" operator="equal">
      <formula>TRUE</formula>
    </cfRule>
  </conditionalFormatting>
  <conditionalFormatting sqref="D13">
    <cfRule type="cellIs" dxfId="331" priority="317" operator="equal">
      <formula>"LEARN"</formula>
    </cfRule>
    <cfRule type="expression" dxfId="330" priority="318">
      <formula>"INVALID"</formula>
    </cfRule>
    <cfRule type="expression" dxfId="329" priority="319">
      <formula>AND(D13=FALSE, D13&lt;&gt;"")</formula>
    </cfRule>
    <cfRule type="cellIs" dxfId="328" priority="320" operator="equal">
      <formula>TRUE</formula>
    </cfRule>
  </conditionalFormatting>
  <conditionalFormatting sqref="D15">
    <cfRule type="cellIs" dxfId="327" priority="313" operator="equal">
      <formula>"LEARN"</formula>
    </cfRule>
    <cfRule type="expression" dxfId="326" priority="314">
      <formula>"INVALID"</formula>
    </cfRule>
    <cfRule type="expression" dxfId="325" priority="315">
      <formula>AND(D15=FALSE, D15&lt;&gt;"")</formula>
    </cfRule>
    <cfRule type="cellIs" dxfId="324" priority="316" operator="equal">
      <formula>TRUE</formula>
    </cfRule>
  </conditionalFormatting>
  <conditionalFormatting sqref="C20">
    <cfRule type="cellIs" dxfId="323" priority="309" operator="equal">
      <formula>"LEARN"</formula>
    </cfRule>
    <cfRule type="expression" dxfId="322" priority="310">
      <formula>"INVALID"</formula>
    </cfRule>
    <cfRule type="expression" dxfId="321" priority="311">
      <formula>AND(C20=FALSE, C20&lt;&gt;"")</formula>
    </cfRule>
    <cfRule type="cellIs" dxfId="320" priority="312" operator="equal">
      <formula>TRUE</formula>
    </cfRule>
  </conditionalFormatting>
  <conditionalFormatting sqref="D20">
    <cfRule type="cellIs" dxfId="319" priority="305" operator="equal">
      <formula>"LEARN"</formula>
    </cfRule>
    <cfRule type="expression" dxfId="318" priority="306">
      <formula>"INVALID"</formula>
    </cfRule>
    <cfRule type="expression" dxfId="317" priority="307">
      <formula>AND(D20=FALSE, D20&lt;&gt;"")</formula>
    </cfRule>
    <cfRule type="cellIs" dxfId="316" priority="308" operator="equal">
      <formula>TRUE</formula>
    </cfRule>
  </conditionalFormatting>
  <conditionalFormatting sqref="E20">
    <cfRule type="cellIs" dxfId="315" priority="301" operator="equal">
      <formula>"LEARN"</formula>
    </cfRule>
    <cfRule type="expression" dxfId="314" priority="302">
      <formula>"INVALID"</formula>
    </cfRule>
    <cfRule type="expression" dxfId="313" priority="303">
      <formula>AND(E20=FALSE, E20&lt;&gt;"")</formula>
    </cfRule>
    <cfRule type="cellIs" dxfId="312" priority="304" operator="equal">
      <formula>TRUE</formula>
    </cfRule>
  </conditionalFormatting>
  <conditionalFormatting sqref="F20">
    <cfRule type="cellIs" dxfId="311" priority="297" operator="equal">
      <formula>"LEARN"</formula>
    </cfRule>
    <cfRule type="expression" dxfId="310" priority="298">
      <formula>"INVALID"</formula>
    </cfRule>
    <cfRule type="expression" dxfId="309" priority="299">
      <formula>AND(F20=FALSE, F20&lt;&gt;"")</formula>
    </cfRule>
    <cfRule type="cellIs" dxfId="308" priority="300" operator="equal">
      <formula>TRUE</formula>
    </cfRule>
  </conditionalFormatting>
  <conditionalFormatting sqref="F18">
    <cfRule type="cellIs" dxfId="307" priority="293" operator="equal">
      <formula>"LEARN"</formula>
    </cfRule>
    <cfRule type="expression" dxfId="306" priority="294">
      <formula>"INVALID"</formula>
    </cfRule>
    <cfRule type="expression" dxfId="305" priority="295">
      <formula>AND(F18=FALSE, F18&lt;&gt;"")</formula>
    </cfRule>
    <cfRule type="cellIs" dxfId="304" priority="296" operator="equal">
      <formula>TRUE</formula>
    </cfRule>
  </conditionalFormatting>
  <conditionalFormatting sqref="G18">
    <cfRule type="cellIs" dxfId="303" priority="289" operator="equal">
      <formula>"LEARN"</formula>
    </cfRule>
    <cfRule type="expression" dxfId="302" priority="290">
      <formula>"INVALID"</formula>
    </cfRule>
    <cfRule type="expression" dxfId="301" priority="291">
      <formula>AND(G18=FALSE, G18&lt;&gt;"")</formula>
    </cfRule>
    <cfRule type="cellIs" dxfId="300" priority="292" operator="equal">
      <formula>TRUE</formula>
    </cfRule>
  </conditionalFormatting>
  <conditionalFormatting sqref="G17">
    <cfRule type="cellIs" dxfId="299" priority="285" operator="equal">
      <formula>"LEARN"</formula>
    </cfRule>
    <cfRule type="expression" dxfId="298" priority="286">
      <formula>"INVALID"</formula>
    </cfRule>
    <cfRule type="expression" dxfId="297" priority="287">
      <formula>AND(G17=FALSE, G17&lt;&gt;"")</formula>
    </cfRule>
    <cfRule type="cellIs" dxfId="296" priority="288" operator="equal">
      <formula>TRUE</formula>
    </cfRule>
  </conditionalFormatting>
  <conditionalFormatting sqref="F17">
    <cfRule type="cellIs" dxfId="295" priority="281" operator="equal">
      <formula>"LEARN"</formula>
    </cfRule>
    <cfRule type="expression" dxfId="294" priority="282">
      <formula>"INVALID"</formula>
    </cfRule>
    <cfRule type="expression" dxfId="293" priority="283">
      <formula>AND(F17=FALSE, F17&lt;&gt;"")</formula>
    </cfRule>
    <cfRule type="cellIs" dxfId="292" priority="284" operator="equal">
      <formula>TRUE</formula>
    </cfRule>
  </conditionalFormatting>
  <conditionalFormatting sqref="E17">
    <cfRule type="cellIs" dxfId="291" priority="277" operator="equal">
      <formula>"LEARN"</formula>
    </cfRule>
    <cfRule type="expression" dxfId="290" priority="278">
      <formula>"INVALID"</formula>
    </cfRule>
    <cfRule type="expression" dxfId="289" priority="279">
      <formula>AND(E17=FALSE, E17&lt;&gt;"")</formula>
    </cfRule>
    <cfRule type="cellIs" dxfId="288" priority="280" operator="equal">
      <formula>TRUE</formula>
    </cfRule>
  </conditionalFormatting>
  <conditionalFormatting sqref="E15">
    <cfRule type="cellIs" dxfId="287" priority="273" operator="equal">
      <formula>"LEARN"</formula>
    </cfRule>
    <cfRule type="expression" dxfId="286" priority="274">
      <formula>"INVALID"</formula>
    </cfRule>
    <cfRule type="expression" dxfId="285" priority="275">
      <formula>AND(E15=FALSE, E15&lt;&gt;"")</formula>
    </cfRule>
    <cfRule type="cellIs" dxfId="284" priority="276" operator="equal">
      <formula>TRUE</formula>
    </cfRule>
  </conditionalFormatting>
  <conditionalFormatting sqref="E12">
    <cfRule type="cellIs" dxfId="283" priority="269" operator="equal">
      <formula>"LEARN"</formula>
    </cfRule>
    <cfRule type="expression" dxfId="282" priority="270">
      <formula>"INVALID"</formula>
    </cfRule>
    <cfRule type="expression" dxfId="281" priority="271">
      <formula>AND(E12=FALSE, E12&lt;&gt;"")</formula>
    </cfRule>
    <cfRule type="cellIs" dxfId="280" priority="272" operator="equal">
      <formula>TRUE</formula>
    </cfRule>
  </conditionalFormatting>
  <conditionalFormatting sqref="E10">
    <cfRule type="cellIs" dxfId="279" priority="265" operator="equal">
      <formula>"LEARN"</formula>
    </cfRule>
    <cfRule type="expression" dxfId="278" priority="266">
      <formula>"INVALID"</formula>
    </cfRule>
    <cfRule type="expression" dxfId="277" priority="267">
      <formula>AND(E10=FALSE, E10&lt;&gt;"")</formula>
    </cfRule>
    <cfRule type="cellIs" dxfId="276" priority="268" operator="equal">
      <formula>TRUE</formula>
    </cfRule>
  </conditionalFormatting>
  <conditionalFormatting sqref="F4">
    <cfRule type="cellIs" dxfId="275" priority="261" operator="equal">
      <formula>"LEARN"</formula>
    </cfRule>
    <cfRule type="expression" dxfId="274" priority="262">
      <formula>"INVALID"</formula>
    </cfRule>
    <cfRule type="expression" dxfId="273" priority="263">
      <formula>AND(F4=FALSE, F4&lt;&gt;"")</formula>
    </cfRule>
    <cfRule type="cellIs" dxfId="272" priority="264" operator="equal">
      <formula>TRUE</formula>
    </cfRule>
  </conditionalFormatting>
  <conditionalFormatting sqref="F11">
    <cfRule type="cellIs" dxfId="271" priority="257" operator="equal">
      <formula>"LEARN"</formula>
    </cfRule>
    <cfRule type="expression" dxfId="270" priority="258">
      <formula>"INVALID"</formula>
    </cfRule>
    <cfRule type="expression" dxfId="269" priority="259">
      <formula>AND(F11=FALSE, F11&lt;&gt;"")</formula>
    </cfRule>
    <cfRule type="cellIs" dxfId="268" priority="260" operator="equal">
      <formula>TRUE</formula>
    </cfRule>
  </conditionalFormatting>
  <conditionalFormatting sqref="F12">
    <cfRule type="cellIs" dxfId="267" priority="253" operator="equal">
      <formula>"LEARN"</formula>
    </cfRule>
    <cfRule type="expression" dxfId="266" priority="254">
      <formula>"INVALID"</formula>
    </cfRule>
    <cfRule type="expression" dxfId="265" priority="255">
      <formula>AND(F12=FALSE, F12&lt;&gt;"")</formula>
    </cfRule>
    <cfRule type="cellIs" dxfId="264" priority="256" operator="equal">
      <formula>TRUE</formula>
    </cfRule>
  </conditionalFormatting>
  <conditionalFormatting sqref="F13">
    <cfRule type="cellIs" dxfId="263" priority="249" operator="equal">
      <formula>"LEARN"</formula>
    </cfRule>
    <cfRule type="expression" dxfId="262" priority="250">
      <formula>"INVALID"</formula>
    </cfRule>
    <cfRule type="expression" dxfId="261" priority="251">
      <formula>AND(F13=FALSE, F13&lt;&gt;"")</formula>
    </cfRule>
    <cfRule type="cellIs" dxfId="260" priority="252" operator="equal">
      <formula>TRUE</formula>
    </cfRule>
  </conditionalFormatting>
  <conditionalFormatting sqref="F16">
    <cfRule type="cellIs" dxfId="259" priority="245" operator="equal">
      <formula>"LEARN"</formula>
    </cfRule>
    <cfRule type="expression" dxfId="258" priority="246">
      <formula>"INVALID"</formula>
    </cfRule>
    <cfRule type="expression" dxfId="257" priority="247">
      <formula>AND(F16=FALSE, F16&lt;&gt;"")</formula>
    </cfRule>
    <cfRule type="cellIs" dxfId="256" priority="248" operator="equal">
      <formula>TRUE</formula>
    </cfRule>
  </conditionalFormatting>
  <conditionalFormatting sqref="G16">
    <cfRule type="cellIs" dxfId="255" priority="241" operator="equal">
      <formula>"LEARN"</formula>
    </cfRule>
    <cfRule type="expression" dxfId="254" priority="242">
      <formula>"INVALID"</formula>
    </cfRule>
    <cfRule type="expression" dxfId="253" priority="243">
      <formula>AND(G16=FALSE, G16&lt;&gt;"")</formula>
    </cfRule>
    <cfRule type="cellIs" dxfId="252" priority="244" operator="equal">
      <formula>TRUE</formula>
    </cfRule>
  </conditionalFormatting>
  <conditionalFormatting sqref="G15">
    <cfRule type="cellIs" dxfId="251" priority="237" operator="equal">
      <formula>"LEARN"</formula>
    </cfRule>
    <cfRule type="expression" dxfId="250" priority="238">
      <formula>"INVALID"</formula>
    </cfRule>
    <cfRule type="expression" dxfId="249" priority="239">
      <formula>AND(G15=FALSE, G15&lt;&gt;"")</formula>
    </cfRule>
    <cfRule type="cellIs" dxfId="248" priority="240" operator="equal">
      <formula>TRUE</formula>
    </cfRule>
  </conditionalFormatting>
  <conditionalFormatting sqref="G14">
    <cfRule type="cellIs" dxfId="247" priority="233" operator="equal">
      <formula>"LEARN"</formula>
    </cfRule>
    <cfRule type="expression" dxfId="246" priority="234">
      <formula>"INVALID"</formula>
    </cfRule>
    <cfRule type="expression" dxfId="245" priority="235">
      <formula>AND(G14=FALSE, G14&lt;&gt;"")</formula>
    </cfRule>
    <cfRule type="cellIs" dxfId="244" priority="236" operator="equal">
      <formula>TRUE</formula>
    </cfRule>
  </conditionalFormatting>
  <conditionalFormatting sqref="G12">
    <cfRule type="cellIs" dxfId="243" priority="229" operator="equal">
      <formula>"LEARN"</formula>
    </cfRule>
    <cfRule type="expression" dxfId="242" priority="230">
      <formula>"INVALID"</formula>
    </cfRule>
    <cfRule type="expression" dxfId="241" priority="231">
      <formula>AND(G12=FALSE, G12&lt;&gt;"")</formula>
    </cfRule>
    <cfRule type="cellIs" dxfId="240" priority="232" operator="equal">
      <formula>TRUE</formula>
    </cfRule>
  </conditionalFormatting>
  <conditionalFormatting sqref="G11">
    <cfRule type="cellIs" dxfId="239" priority="225" operator="equal">
      <formula>"LEARN"</formula>
    </cfRule>
    <cfRule type="expression" dxfId="238" priority="226">
      <formula>"INVALID"</formula>
    </cfRule>
    <cfRule type="expression" dxfId="237" priority="227">
      <formula>AND(G11=FALSE, G11&lt;&gt;"")</formula>
    </cfRule>
    <cfRule type="cellIs" dxfId="236" priority="228" operator="equal">
      <formula>TRUE</formula>
    </cfRule>
  </conditionalFormatting>
  <conditionalFormatting sqref="G9">
    <cfRule type="cellIs" dxfId="235" priority="221" operator="equal">
      <formula>"LEARN"</formula>
    </cfRule>
    <cfRule type="expression" dxfId="234" priority="222">
      <formula>"INVALID"</formula>
    </cfRule>
    <cfRule type="expression" dxfId="233" priority="223">
      <formula>AND(G9=FALSE, G9&lt;&gt;"")</formula>
    </cfRule>
    <cfRule type="cellIs" dxfId="232" priority="224" operator="equal">
      <formula>TRUE</formula>
    </cfRule>
  </conditionalFormatting>
  <conditionalFormatting sqref="G8">
    <cfRule type="cellIs" dxfId="231" priority="217" operator="equal">
      <formula>"LEARN"</formula>
    </cfRule>
    <cfRule type="expression" dxfId="230" priority="218">
      <formula>"INVALID"</formula>
    </cfRule>
    <cfRule type="expression" dxfId="229" priority="219">
      <formula>AND(G8=FALSE, G8&lt;&gt;"")</formula>
    </cfRule>
    <cfRule type="cellIs" dxfId="228" priority="220" operator="equal">
      <formula>TRUE</formula>
    </cfRule>
  </conditionalFormatting>
  <conditionalFormatting sqref="G6">
    <cfRule type="cellIs" dxfId="227" priority="213" operator="equal">
      <formula>"LEARN"</formula>
    </cfRule>
    <cfRule type="expression" dxfId="226" priority="214">
      <formula>"INVALID"</formula>
    </cfRule>
    <cfRule type="expression" dxfId="225" priority="215">
      <formula>AND(G6=FALSE, G6&lt;&gt;"")</formula>
    </cfRule>
    <cfRule type="cellIs" dxfId="224" priority="216" operator="equal">
      <formula>TRUE</formula>
    </cfRule>
  </conditionalFormatting>
  <conditionalFormatting sqref="G4:G5">
    <cfRule type="cellIs" dxfId="223" priority="209" operator="equal">
      <formula>"LEARN"</formula>
    </cfRule>
    <cfRule type="expression" dxfId="222" priority="210">
      <formula>"INVALID"</formula>
    </cfRule>
    <cfRule type="expression" dxfId="221" priority="211">
      <formula>AND(G4=FALSE, G4&lt;&gt;"")</formula>
    </cfRule>
    <cfRule type="cellIs" dxfId="220" priority="212" operator="equal">
      <formula>TRUE</formula>
    </cfRule>
  </conditionalFormatting>
  <conditionalFormatting sqref="H5">
    <cfRule type="cellIs" dxfId="211" priority="205" operator="equal">
      <formula>"LEARN"</formula>
    </cfRule>
    <cfRule type="expression" dxfId="210" priority="206">
      <formula>"INVALID"</formula>
    </cfRule>
    <cfRule type="expression" dxfId="209" priority="207">
      <formula>AND(H5=FALSE, H5&lt;&gt;"")</formula>
    </cfRule>
    <cfRule type="cellIs" dxfId="208" priority="208" operator="equal">
      <formula>TRUE</formula>
    </cfRule>
  </conditionalFormatting>
  <conditionalFormatting sqref="H6">
    <cfRule type="cellIs" dxfId="207" priority="201" operator="equal">
      <formula>"LEARN"</formula>
    </cfRule>
    <cfRule type="expression" dxfId="206" priority="202">
      <formula>"INVALID"</formula>
    </cfRule>
    <cfRule type="expression" dxfId="205" priority="203">
      <formula>AND(H6=FALSE, H6&lt;&gt;"")</formula>
    </cfRule>
    <cfRule type="cellIs" dxfId="204" priority="204" operator="equal">
      <formula>TRUE</formula>
    </cfRule>
  </conditionalFormatting>
  <conditionalFormatting sqref="H7">
    <cfRule type="cellIs" dxfId="203" priority="197" operator="equal">
      <formula>"LEARN"</formula>
    </cfRule>
    <cfRule type="expression" dxfId="202" priority="198">
      <formula>"INVALID"</formula>
    </cfRule>
    <cfRule type="expression" dxfId="201" priority="199">
      <formula>AND(H7=FALSE, H7&lt;&gt;"")</formula>
    </cfRule>
    <cfRule type="cellIs" dxfId="200" priority="200" operator="equal">
      <formula>TRUE</formula>
    </cfRule>
  </conditionalFormatting>
  <conditionalFormatting sqref="H8">
    <cfRule type="cellIs" dxfId="199" priority="193" operator="equal">
      <formula>"LEARN"</formula>
    </cfRule>
    <cfRule type="expression" dxfId="198" priority="194">
      <formula>"INVALID"</formula>
    </cfRule>
    <cfRule type="expression" dxfId="197" priority="195">
      <formula>AND(H8=FALSE, H8&lt;&gt;"")</formula>
    </cfRule>
    <cfRule type="cellIs" dxfId="196" priority="196" operator="equal">
      <formula>TRUE</formula>
    </cfRule>
  </conditionalFormatting>
  <conditionalFormatting sqref="H9">
    <cfRule type="cellIs" dxfId="195" priority="189" operator="equal">
      <formula>"LEARN"</formula>
    </cfRule>
    <cfRule type="expression" dxfId="194" priority="190">
      <formula>"INVALID"</formula>
    </cfRule>
    <cfRule type="expression" dxfId="193" priority="191">
      <formula>AND(H9=FALSE, H9&lt;&gt;"")</formula>
    </cfRule>
    <cfRule type="cellIs" dxfId="192" priority="192" operator="equal">
      <formula>TRUE</formula>
    </cfRule>
  </conditionalFormatting>
  <conditionalFormatting sqref="H12">
    <cfRule type="cellIs" dxfId="191" priority="185" operator="equal">
      <formula>"LEARN"</formula>
    </cfRule>
    <cfRule type="expression" dxfId="190" priority="186">
      <formula>"INVALID"</formula>
    </cfRule>
    <cfRule type="expression" dxfId="189" priority="187">
      <formula>AND(H12=FALSE, H12&lt;&gt;"")</formula>
    </cfRule>
    <cfRule type="cellIs" dxfId="188" priority="188" operator="equal">
      <formula>TRUE</formula>
    </cfRule>
  </conditionalFormatting>
  <conditionalFormatting sqref="H13">
    <cfRule type="cellIs" dxfId="187" priority="181" operator="equal">
      <formula>"LEARN"</formula>
    </cfRule>
    <cfRule type="expression" dxfId="186" priority="182">
      <formula>"INVALID"</formula>
    </cfRule>
    <cfRule type="expression" dxfId="185" priority="183">
      <formula>AND(H13=FALSE, H13&lt;&gt;"")</formula>
    </cfRule>
    <cfRule type="cellIs" dxfId="184" priority="184" operator="equal">
      <formula>TRUE</formula>
    </cfRule>
  </conditionalFormatting>
  <conditionalFormatting sqref="H15">
    <cfRule type="cellIs" dxfId="183" priority="177" operator="equal">
      <formula>"LEARN"</formula>
    </cfRule>
    <cfRule type="expression" dxfId="182" priority="178">
      <formula>"INVALID"</formula>
    </cfRule>
    <cfRule type="expression" dxfId="181" priority="179">
      <formula>AND(H15=FALSE, H15&lt;&gt;"")</formula>
    </cfRule>
    <cfRule type="cellIs" dxfId="180" priority="180" operator="equal">
      <formula>TRUE</formula>
    </cfRule>
  </conditionalFormatting>
  <conditionalFormatting sqref="H20">
    <cfRule type="cellIs" dxfId="179" priority="173" operator="equal">
      <formula>"LEARN"</formula>
    </cfRule>
    <cfRule type="expression" dxfId="178" priority="174">
      <formula>"INVALID"</formula>
    </cfRule>
    <cfRule type="expression" dxfId="177" priority="175">
      <formula>AND(H20=FALSE, H20&lt;&gt;"")</formula>
    </cfRule>
    <cfRule type="cellIs" dxfId="176" priority="176" operator="equal">
      <formula>TRUE</formula>
    </cfRule>
  </conditionalFormatting>
  <conditionalFormatting sqref="I20">
    <cfRule type="cellIs" dxfId="175" priority="169" operator="equal">
      <formula>"LEARN"</formula>
    </cfRule>
    <cfRule type="expression" dxfId="174" priority="170">
      <formula>"INVALID"</formula>
    </cfRule>
    <cfRule type="expression" dxfId="173" priority="171">
      <formula>AND(I20=FALSE, I20&lt;&gt;"")</formula>
    </cfRule>
    <cfRule type="cellIs" dxfId="172" priority="172" operator="equal">
      <formula>TRUE</formula>
    </cfRule>
  </conditionalFormatting>
  <conditionalFormatting sqref="I18">
    <cfRule type="cellIs" dxfId="171" priority="165" operator="equal">
      <formula>"LEARN"</formula>
    </cfRule>
    <cfRule type="expression" dxfId="170" priority="166">
      <formula>"INVALID"</formula>
    </cfRule>
    <cfRule type="expression" dxfId="169" priority="167">
      <formula>AND(I18=FALSE, I18&lt;&gt;"")</formula>
    </cfRule>
    <cfRule type="cellIs" dxfId="168" priority="168" operator="equal">
      <formula>TRUE</formula>
    </cfRule>
  </conditionalFormatting>
  <conditionalFormatting sqref="I15">
    <cfRule type="cellIs" dxfId="167" priority="161" operator="equal">
      <formula>"LEARN"</formula>
    </cfRule>
    <cfRule type="expression" dxfId="166" priority="162">
      <formula>"INVALID"</formula>
    </cfRule>
    <cfRule type="expression" dxfId="165" priority="163">
      <formula>AND(I15=FALSE, I15&lt;&gt;"")</formula>
    </cfRule>
    <cfRule type="cellIs" dxfId="164" priority="164" operator="equal">
      <formula>TRUE</formula>
    </cfRule>
  </conditionalFormatting>
  <conditionalFormatting sqref="I14">
    <cfRule type="cellIs" dxfId="163" priority="157" operator="equal">
      <formula>"LEARN"</formula>
    </cfRule>
    <cfRule type="expression" dxfId="162" priority="158">
      <formula>"INVALID"</formula>
    </cfRule>
    <cfRule type="expression" dxfId="161" priority="159">
      <formula>AND(I14=FALSE, I14&lt;&gt;"")</formula>
    </cfRule>
    <cfRule type="cellIs" dxfId="160" priority="160" operator="equal">
      <formula>TRUE</formula>
    </cfRule>
  </conditionalFormatting>
  <conditionalFormatting sqref="I11">
    <cfRule type="cellIs" dxfId="159" priority="153" operator="equal">
      <formula>"LEARN"</formula>
    </cfRule>
    <cfRule type="expression" dxfId="158" priority="154">
      <formula>"INVALID"</formula>
    </cfRule>
    <cfRule type="expression" dxfId="157" priority="155">
      <formula>AND(I11=FALSE, I11&lt;&gt;"")</formula>
    </cfRule>
    <cfRule type="cellIs" dxfId="156" priority="156" operator="equal">
      <formula>TRUE</formula>
    </cfRule>
  </conditionalFormatting>
  <conditionalFormatting sqref="I9">
    <cfRule type="cellIs" dxfId="155" priority="149" operator="equal">
      <formula>"LEARN"</formula>
    </cfRule>
    <cfRule type="expression" dxfId="154" priority="150">
      <formula>"INVALID"</formula>
    </cfRule>
    <cfRule type="expression" dxfId="153" priority="151">
      <formula>AND(I9=FALSE, I9&lt;&gt;"")</formula>
    </cfRule>
    <cfRule type="cellIs" dxfId="152" priority="152" operator="equal">
      <formula>TRUE</formula>
    </cfRule>
  </conditionalFormatting>
  <conditionalFormatting sqref="I6">
    <cfRule type="cellIs" dxfId="151" priority="145" operator="equal">
      <formula>"LEARN"</formula>
    </cfRule>
    <cfRule type="expression" dxfId="150" priority="146">
      <formula>"INVALID"</formula>
    </cfRule>
    <cfRule type="expression" dxfId="149" priority="147">
      <formula>AND(I6=FALSE, I6&lt;&gt;"")</formula>
    </cfRule>
    <cfRule type="cellIs" dxfId="148" priority="148" operator="equal">
      <formula>TRUE</formula>
    </cfRule>
  </conditionalFormatting>
  <conditionalFormatting sqref="I5">
    <cfRule type="cellIs" dxfId="147" priority="141" operator="equal">
      <formula>"LEARN"</formula>
    </cfRule>
    <cfRule type="expression" dxfId="146" priority="142">
      <formula>"INVALID"</formula>
    </cfRule>
    <cfRule type="expression" dxfId="145" priority="143">
      <formula>AND(I5=FALSE, I5&lt;&gt;"")</formula>
    </cfRule>
    <cfRule type="cellIs" dxfId="144" priority="144" operator="equal">
      <formula>TRUE</formula>
    </cfRule>
  </conditionalFormatting>
  <conditionalFormatting sqref="J4">
    <cfRule type="cellIs" dxfId="143" priority="137" operator="equal">
      <formula>"LEARN"</formula>
    </cfRule>
    <cfRule type="expression" dxfId="142" priority="138">
      <formula>"INVALID"</formula>
    </cfRule>
    <cfRule type="expression" dxfId="141" priority="139">
      <formula>AND(J4=FALSE, J4&lt;&gt;"")</formula>
    </cfRule>
    <cfRule type="cellIs" dxfId="140" priority="140" operator="equal">
      <formula>TRUE</formula>
    </cfRule>
  </conditionalFormatting>
  <conditionalFormatting sqref="J5">
    <cfRule type="cellIs" dxfId="139" priority="133" operator="equal">
      <formula>"LEARN"</formula>
    </cfRule>
    <cfRule type="expression" dxfId="138" priority="134">
      <formula>"INVALID"</formula>
    </cfRule>
    <cfRule type="expression" dxfId="137" priority="135">
      <formula>AND(J5=FALSE, J5&lt;&gt;"")</formula>
    </cfRule>
    <cfRule type="cellIs" dxfId="136" priority="136" operator="equal">
      <formula>TRUE</formula>
    </cfRule>
  </conditionalFormatting>
  <conditionalFormatting sqref="J6">
    <cfRule type="cellIs" dxfId="135" priority="129" operator="equal">
      <formula>"LEARN"</formula>
    </cfRule>
    <cfRule type="expression" dxfId="134" priority="130">
      <formula>"INVALID"</formula>
    </cfRule>
    <cfRule type="expression" dxfId="133" priority="131">
      <formula>AND(J6=FALSE, J6&lt;&gt;"")</formula>
    </cfRule>
    <cfRule type="cellIs" dxfId="132" priority="132" operator="equal">
      <formula>TRUE</formula>
    </cfRule>
  </conditionalFormatting>
  <conditionalFormatting sqref="J8">
    <cfRule type="cellIs" dxfId="131" priority="125" operator="equal">
      <formula>"LEARN"</formula>
    </cfRule>
    <cfRule type="expression" dxfId="130" priority="126">
      <formula>"INVALID"</formula>
    </cfRule>
    <cfRule type="expression" dxfId="129" priority="127">
      <formula>AND(J8=FALSE, J8&lt;&gt;"")</formula>
    </cfRule>
    <cfRule type="cellIs" dxfId="128" priority="128" operator="equal">
      <formula>TRUE</formula>
    </cfRule>
  </conditionalFormatting>
  <conditionalFormatting sqref="J9">
    <cfRule type="cellIs" dxfId="127" priority="121" operator="equal">
      <formula>"LEARN"</formula>
    </cfRule>
    <cfRule type="expression" dxfId="126" priority="122">
      <formula>"INVALID"</formula>
    </cfRule>
    <cfRule type="expression" dxfId="125" priority="123">
      <formula>AND(J9=FALSE, J9&lt;&gt;"")</formula>
    </cfRule>
    <cfRule type="cellIs" dxfId="124" priority="124" operator="equal">
      <formula>TRUE</formula>
    </cfRule>
  </conditionalFormatting>
  <conditionalFormatting sqref="J10">
    <cfRule type="cellIs" dxfId="119" priority="117" operator="equal">
      <formula>"LEARN"</formula>
    </cfRule>
    <cfRule type="expression" dxfId="118" priority="118">
      <formula>"INVALID"</formula>
    </cfRule>
    <cfRule type="expression" dxfId="117" priority="119">
      <formula>AND(J10=FALSE, J10&lt;&gt;"")</formula>
    </cfRule>
    <cfRule type="cellIs" dxfId="116" priority="120" operator="equal">
      <formula>TRUE</formula>
    </cfRule>
  </conditionalFormatting>
  <conditionalFormatting sqref="J11">
    <cfRule type="cellIs" dxfId="115" priority="113" operator="equal">
      <formula>"LEARN"</formula>
    </cfRule>
    <cfRule type="expression" dxfId="114" priority="114">
      <formula>"INVALID"</formula>
    </cfRule>
    <cfRule type="expression" dxfId="113" priority="115">
      <formula>AND(J11=FALSE, J11&lt;&gt;"")</formula>
    </cfRule>
    <cfRule type="cellIs" dxfId="112" priority="116" operator="equal">
      <formula>TRUE</formula>
    </cfRule>
  </conditionalFormatting>
  <conditionalFormatting sqref="J12">
    <cfRule type="cellIs" dxfId="111" priority="109" operator="equal">
      <formula>"LEARN"</formula>
    </cfRule>
    <cfRule type="expression" dxfId="110" priority="110">
      <formula>"INVALID"</formula>
    </cfRule>
    <cfRule type="expression" dxfId="109" priority="111">
      <formula>AND(J12=FALSE, J12&lt;&gt;"")</formula>
    </cfRule>
    <cfRule type="cellIs" dxfId="108" priority="112" operator="equal">
      <formula>TRUE</formula>
    </cfRule>
  </conditionalFormatting>
  <conditionalFormatting sqref="J15">
    <cfRule type="cellIs" dxfId="107" priority="105" operator="equal">
      <formula>"LEARN"</formula>
    </cfRule>
    <cfRule type="expression" dxfId="106" priority="106">
      <formula>"INVALID"</formula>
    </cfRule>
    <cfRule type="expression" dxfId="105" priority="107">
      <formula>AND(J15=FALSE, J15&lt;&gt;"")</formula>
    </cfRule>
    <cfRule type="cellIs" dxfId="104" priority="108" operator="equal">
      <formula>TRUE</formula>
    </cfRule>
  </conditionalFormatting>
  <conditionalFormatting sqref="J16">
    <cfRule type="cellIs" dxfId="103" priority="101" operator="equal">
      <formula>"LEARN"</formula>
    </cfRule>
    <cfRule type="expression" dxfId="102" priority="102">
      <formula>"INVALID"</formula>
    </cfRule>
    <cfRule type="expression" dxfId="101" priority="103">
      <formula>AND(J16=FALSE, J16&lt;&gt;"")</formula>
    </cfRule>
    <cfRule type="cellIs" dxfId="100" priority="104" operator="equal">
      <formula>TRUE</formula>
    </cfRule>
  </conditionalFormatting>
  <conditionalFormatting sqref="J17">
    <cfRule type="cellIs" dxfId="99" priority="97" operator="equal">
      <formula>"LEARN"</formula>
    </cfRule>
    <cfRule type="expression" dxfId="98" priority="98">
      <formula>"INVALID"</formula>
    </cfRule>
    <cfRule type="expression" dxfId="97" priority="99">
      <formula>AND(J17=FALSE, J17&lt;&gt;"")</formula>
    </cfRule>
    <cfRule type="cellIs" dxfId="96" priority="100" operator="equal">
      <formula>TRUE</formula>
    </cfRule>
  </conditionalFormatting>
  <conditionalFormatting sqref="J18">
    <cfRule type="cellIs" dxfId="95" priority="93" operator="equal">
      <formula>"LEARN"</formula>
    </cfRule>
    <cfRule type="expression" dxfId="94" priority="94">
      <formula>"INVALID"</formula>
    </cfRule>
    <cfRule type="expression" dxfId="93" priority="95">
      <formula>AND(J18=FALSE, J18&lt;&gt;"")</formula>
    </cfRule>
    <cfRule type="cellIs" dxfId="92" priority="96" operator="equal">
      <formula>TRUE</formula>
    </cfRule>
  </conditionalFormatting>
  <conditionalFormatting sqref="K18">
    <cfRule type="cellIs" dxfId="91" priority="89" operator="equal">
      <formula>"LEARN"</formula>
    </cfRule>
    <cfRule type="expression" dxfId="90" priority="90">
      <formula>"INVALID"</formula>
    </cfRule>
    <cfRule type="expression" dxfId="89" priority="91">
      <formula>AND(K18=FALSE, K18&lt;&gt;"")</formula>
    </cfRule>
    <cfRule type="cellIs" dxfId="88" priority="92" operator="equal">
      <formula>TRUE</formula>
    </cfRule>
  </conditionalFormatting>
  <conditionalFormatting sqref="K17">
    <cfRule type="cellIs" dxfId="87" priority="85" operator="equal">
      <formula>"LEARN"</formula>
    </cfRule>
    <cfRule type="expression" dxfId="86" priority="86">
      <formula>"INVALID"</formula>
    </cfRule>
    <cfRule type="expression" dxfId="85" priority="87">
      <formula>AND(K17=FALSE, K17&lt;&gt;"")</formula>
    </cfRule>
    <cfRule type="cellIs" dxfId="84" priority="88" operator="equal">
      <formula>TRUE</formula>
    </cfRule>
  </conditionalFormatting>
  <conditionalFormatting sqref="K16">
    <cfRule type="cellIs" dxfId="83" priority="81" operator="equal">
      <formula>"LEARN"</formula>
    </cfRule>
    <cfRule type="expression" dxfId="82" priority="82">
      <formula>"INVALID"</formula>
    </cfRule>
    <cfRule type="expression" dxfId="81" priority="83">
      <formula>AND(K16=FALSE, K16&lt;&gt;"")</formula>
    </cfRule>
    <cfRule type="cellIs" dxfId="80" priority="84" operator="equal">
      <formula>TRUE</formula>
    </cfRule>
  </conditionalFormatting>
  <conditionalFormatting sqref="K15">
    <cfRule type="cellIs" dxfId="79" priority="77" operator="equal">
      <formula>"LEARN"</formula>
    </cfRule>
    <cfRule type="expression" dxfId="78" priority="78">
      <formula>"INVALID"</formula>
    </cfRule>
    <cfRule type="expression" dxfId="77" priority="79">
      <formula>AND(K15=FALSE, K15&lt;&gt;"")</formula>
    </cfRule>
    <cfRule type="cellIs" dxfId="76" priority="80" operator="equal">
      <formula>TRUE</formula>
    </cfRule>
  </conditionalFormatting>
  <conditionalFormatting sqref="K12">
    <cfRule type="cellIs" dxfId="75" priority="73" operator="equal">
      <formula>"LEARN"</formula>
    </cfRule>
    <cfRule type="expression" dxfId="74" priority="74">
      <formula>"INVALID"</formula>
    </cfRule>
    <cfRule type="expression" dxfId="73" priority="75">
      <formula>AND(K12=FALSE, K12&lt;&gt;"")</formula>
    </cfRule>
    <cfRule type="cellIs" dxfId="72" priority="76" operator="equal">
      <formula>TRUE</formula>
    </cfRule>
  </conditionalFormatting>
  <conditionalFormatting sqref="K11">
    <cfRule type="cellIs" dxfId="71" priority="69" operator="equal">
      <formula>"LEARN"</formula>
    </cfRule>
    <cfRule type="expression" dxfId="70" priority="70">
      <formula>"INVALID"</formula>
    </cfRule>
    <cfRule type="expression" dxfId="69" priority="71">
      <formula>AND(K11=FALSE, K11&lt;&gt;"")</formula>
    </cfRule>
    <cfRule type="cellIs" dxfId="68" priority="72" operator="equal">
      <formula>TRUE</formula>
    </cfRule>
  </conditionalFormatting>
  <conditionalFormatting sqref="K10">
    <cfRule type="cellIs" dxfId="67" priority="65" operator="equal">
      <formula>"LEARN"</formula>
    </cfRule>
    <cfRule type="expression" dxfId="66" priority="66">
      <formula>"INVALID"</formula>
    </cfRule>
    <cfRule type="expression" dxfId="65" priority="67">
      <formula>AND(K10=FALSE, K10&lt;&gt;"")</formula>
    </cfRule>
    <cfRule type="cellIs" dxfId="64" priority="68" operator="equal">
      <formula>TRUE</formula>
    </cfRule>
  </conditionalFormatting>
  <conditionalFormatting sqref="K9">
    <cfRule type="cellIs" dxfId="63" priority="61" operator="equal">
      <formula>"LEARN"</formula>
    </cfRule>
    <cfRule type="expression" dxfId="62" priority="62">
      <formula>"INVALID"</formula>
    </cfRule>
    <cfRule type="expression" dxfId="61" priority="63">
      <formula>AND(K9=FALSE, K9&lt;&gt;"")</formula>
    </cfRule>
    <cfRule type="cellIs" dxfId="60" priority="64" operator="equal">
      <formula>TRUE</formula>
    </cfRule>
  </conditionalFormatting>
  <conditionalFormatting sqref="K8">
    <cfRule type="cellIs" dxfId="59" priority="57" operator="equal">
      <formula>"LEARN"</formula>
    </cfRule>
    <cfRule type="expression" dxfId="58" priority="58">
      <formula>"INVALID"</formula>
    </cfRule>
    <cfRule type="expression" dxfId="57" priority="59">
      <formula>AND(K8=FALSE, K8&lt;&gt;"")</formula>
    </cfRule>
    <cfRule type="cellIs" dxfId="56" priority="60" operator="equal">
      <formula>TRUE</formula>
    </cfRule>
  </conditionalFormatting>
  <conditionalFormatting sqref="K6">
    <cfRule type="cellIs" dxfId="55" priority="53" operator="equal">
      <formula>"LEARN"</formula>
    </cfRule>
    <cfRule type="expression" dxfId="54" priority="54">
      <formula>"INVALID"</formula>
    </cfRule>
    <cfRule type="expression" dxfId="53" priority="55">
      <formula>AND(K6=FALSE, K6&lt;&gt;"")</formula>
    </cfRule>
    <cfRule type="cellIs" dxfId="52" priority="56" operator="equal">
      <formula>TRUE</formula>
    </cfRule>
  </conditionalFormatting>
  <conditionalFormatting sqref="K5">
    <cfRule type="cellIs" dxfId="51" priority="49" operator="equal">
      <formula>"LEARN"</formula>
    </cfRule>
    <cfRule type="expression" dxfId="50" priority="50">
      <formula>"INVALID"</formula>
    </cfRule>
    <cfRule type="expression" dxfId="49" priority="51">
      <formula>AND(K5=FALSE, K5&lt;&gt;"")</formula>
    </cfRule>
    <cfRule type="cellIs" dxfId="48" priority="52" operator="equal">
      <formula>TRUE</formula>
    </cfRule>
  </conditionalFormatting>
  <conditionalFormatting sqref="K4">
    <cfRule type="cellIs" dxfId="47" priority="45" operator="equal">
      <formula>"LEARN"</formula>
    </cfRule>
    <cfRule type="expression" dxfId="46" priority="46">
      <formula>"INVALID"</formula>
    </cfRule>
    <cfRule type="expression" dxfId="45" priority="47">
      <formula>AND(K4=FALSE, K4&lt;&gt;"")</formula>
    </cfRule>
    <cfRule type="cellIs" dxfId="44" priority="48" operator="equal">
      <formula>TRUE</formula>
    </cfRule>
  </conditionalFormatting>
  <conditionalFormatting sqref="L4">
    <cfRule type="cellIs" dxfId="43" priority="41" operator="equal">
      <formula>"LEARN"</formula>
    </cfRule>
    <cfRule type="expression" dxfId="42" priority="42">
      <formula>"INVALID"</formula>
    </cfRule>
    <cfRule type="expression" dxfId="41" priority="43">
      <formula>AND(L4=FALSE, L4&lt;&gt;"")</formula>
    </cfRule>
    <cfRule type="cellIs" dxfId="40" priority="44" operator="equal">
      <formula>TRUE</formula>
    </cfRule>
  </conditionalFormatting>
  <conditionalFormatting sqref="L5">
    <cfRule type="cellIs" dxfId="39" priority="37" operator="equal">
      <formula>"LEARN"</formula>
    </cfRule>
    <cfRule type="expression" dxfId="38" priority="38">
      <formula>"INVALID"</formula>
    </cfRule>
    <cfRule type="expression" dxfId="37" priority="39">
      <formula>AND(L5=FALSE, L5&lt;&gt;"")</formula>
    </cfRule>
    <cfRule type="cellIs" dxfId="36" priority="40" operator="equal">
      <formula>TRUE</formula>
    </cfRule>
  </conditionalFormatting>
  <conditionalFormatting sqref="L6">
    <cfRule type="cellIs" dxfId="35" priority="33" operator="equal">
      <formula>"LEARN"</formula>
    </cfRule>
    <cfRule type="expression" dxfId="34" priority="34">
      <formula>"INVALID"</formula>
    </cfRule>
    <cfRule type="expression" dxfId="33" priority="35">
      <formula>AND(L6=FALSE, L6&lt;&gt;"")</formula>
    </cfRule>
    <cfRule type="cellIs" dxfId="32" priority="36" operator="equal">
      <formula>TRUE</formula>
    </cfRule>
  </conditionalFormatting>
  <conditionalFormatting sqref="L9">
    <cfRule type="cellIs" dxfId="31" priority="29" operator="equal">
      <formula>"LEARN"</formula>
    </cfRule>
    <cfRule type="expression" dxfId="30" priority="30">
      <formula>"INVALID"</formula>
    </cfRule>
    <cfRule type="expression" dxfId="29" priority="31">
      <formula>AND(L9=FALSE, L9&lt;&gt;"")</formula>
    </cfRule>
    <cfRule type="cellIs" dxfId="28" priority="32" operator="equal">
      <formula>TRUE</formula>
    </cfRule>
  </conditionalFormatting>
  <conditionalFormatting sqref="L11">
    <cfRule type="cellIs" dxfId="27" priority="25" operator="equal">
      <formula>"LEARN"</formula>
    </cfRule>
    <cfRule type="expression" dxfId="26" priority="26">
      <formula>"INVALID"</formula>
    </cfRule>
    <cfRule type="expression" dxfId="25" priority="27">
      <formula>AND(L11=FALSE, L11&lt;&gt;"")</formula>
    </cfRule>
    <cfRule type="cellIs" dxfId="24" priority="28" operator="equal">
      <formula>TRUE</formula>
    </cfRule>
  </conditionalFormatting>
  <conditionalFormatting sqref="L12">
    <cfRule type="cellIs" dxfId="23" priority="21" operator="equal">
      <formula>"LEARN"</formula>
    </cfRule>
    <cfRule type="expression" dxfId="22" priority="22">
      <formula>"INVALID"</formula>
    </cfRule>
    <cfRule type="expression" dxfId="21" priority="23">
      <formula>AND(L12=FALSE, L12&lt;&gt;"")</formula>
    </cfRule>
    <cfRule type="cellIs" dxfId="20" priority="24" operator="equal">
      <formula>TRUE</formula>
    </cfRule>
  </conditionalFormatting>
  <conditionalFormatting sqref="L14">
    <cfRule type="cellIs" dxfId="19" priority="17" operator="equal">
      <formula>"LEARN"</formula>
    </cfRule>
    <cfRule type="expression" dxfId="18" priority="18">
      <formula>"INVALID"</formula>
    </cfRule>
    <cfRule type="expression" dxfId="17" priority="19">
      <formula>AND(L14=FALSE, L14&lt;&gt;"")</formula>
    </cfRule>
    <cfRule type="cellIs" dxfId="16" priority="20" operator="equal">
      <formula>TRUE</formula>
    </cfRule>
  </conditionalFormatting>
  <conditionalFormatting sqref="L15">
    <cfRule type="cellIs" dxfId="15" priority="13" operator="equal">
      <formula>"LEARN"</formula>
    </cfRule>
    <cfRule type="expression" dxfId="14" priority="14">
      <formula>"INVALID"</formula>
    </cfRule>
    <cfRule type="expression" dxfId="13" priority="15">
      <formula>AND(L15=FALSE, L15&lt;&gt;"")</formula>
    </cfRule>
    <cfRule type="cellIs" dxfId="12" priority="16" operator="equal">
      <formula>TRUE</formula>
    </cfRule>
  </conditionalFormatting>
  <conditionalFormatting sqref="L16">
    <cfRule type="cellIs" dxfId="11" priority="9" operator="equal">
      <formula>"LEARN"</formula>
    </cfRule>
    <cfRule type="expression" dxfId="10" priority="10">
      <formula>"INVALID"</formula>
    </cfRule>
    <cfRule type="expression" dxfId="9" priority="11">
      <formula>AND(L16=FALSE, L16&lt;&gt;"")</formula>
    </cfRule>
    <cfRule type="cellIs" dxfId="8" priority="12" operator="equal">
      <formula>TRUE</formula>
    </cfRule>
  </conditionalFormatting>
  <conditionalFormatting sqref="L18">
    <cfRule type="cellIs" dxfId="7" priority="5" operator="equal">
      <formula>"LEARN"</formula>
    </cfRule>
    <cfRule type="expression" dxfId="6" priority="6">
      <formula>"INVALID"</formula>
    </cfRule>
    <cfRule type="expression" dxfId="5" priority="7">
      <formula>AND(L18=FALSE, L18&lt;&gt;"")</formula>
    </cfRule>
    <cfRule type="cellIs" dxfId="4" priority="8" operator="equal">
      <formula>TRUE</formula>
    </cfRule>
  </conditionalFormatting>
  <conditionalFormatting sqref="L20">
    <cfRule type="cellIs" dxfId="3" priority="1" operator="equal">
      <formula>"LEARN"</formula>
    </cfRule>
    <cfRule type="expression" dxfId="2" priority="2">
      <formula>"INVALID"</formula>
    </cfRule>
    <cfRule type="expression" dxfId="1" priority="3">
      <formula>AND(L20=FALSE, L20&lt;&gt;"")</formula>
    </cfRule>
    <cfRule type="cellIs" dxfId="0" priority="4" operator="equal">
      <formula>TRUE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4"/>
  <sheetViews>
    <sheetView tabSelected="1" zoomScaleNormal="100" workbookViewId="0">
      <selection activeCell="M22" sqref="M22"/>
    </sheetView>
  </sheetViews>
  <sheetFormatPr defaultRowHeight="14.4" x14ac:dyDescent="0.3"/>
  <cols>
    <col min="1" max="1" width="11.33203125" style="11" bestFit="1" customWidth="1"/>
    <col min="2" max="3" width="7.77734375" style="11" bestFit="1" customWidth="1"/>
    <col min="4" max="4" width="7.88671875" style="11" bestFit="1" customWidth="1"/>
    <col min="5" max="6" width="7.77734375" style="11" bestFit="1" customWidth="1"/>
    <col min="7" max="7" width="11.77734375" style="11" bestFit="1" customWidth="1"/>
    <col min="8" max="10" width="7.77734375" style="11" bestFit="1" customWidth="1"/>
    <col min="11" max="11" width="7.88671875" style="11" bestFit="1" customWidth="1"/>
    <col min="12" max="12" width="6.33203125" style="11" bestFit="1" customWidth="1"/>
    <col min="13" max="13" width="5.88671875" style="11" bestFit="1" customWidth="1"/>
    <col min="14" max="14" width="7.21875" style="11" customWidth="1"/>
    <col min="15" max="15" width="34" style="11" bestFit="1" customWidth="1"/>
    <col min="16" max="16384" width="8.88671875" style="11"/>
  </cols>
  <sheetData>
    <row r="1" spans="1:13" x14ac:dyDescent="0.3">
      <c r="A1" s="15" t="s">
        <v>49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3" x14ac:dyDescent="0.3">
      <c r="A2" s="12" t="s">
        <v>0</v>
      </c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1</v>
      </c>
      <c r="M2" s="12" t="s">
        <v>3</v>
      </c>
    </row>
    <row r="3" spans="1:13" x14ac:dyDescent="0.3">
      <c r="A3" s="12" t="s">
        <v>4</v>
      </c>
      <c r="B3" s="13" t="b">
        <v>1</v>
      </c>
      <c r="C3" s="13" t="b">
        <v>1</v>
      </c>
      <c r="D3" s="14" t="s">
        <v>50</v>
      </c>
      <c r="E3" s="13" t="b">
        <v>1</v>
      </c>
      <c r="F3" s="13" t="b">
        <v>1</v>
      </c>
      <c r="G3" s="13" t="b">
        <v>1</v>
      </c>
      <c r="H3" s="14" t="s">
        <v>50</v>
      </c>
      <c r="I3" s="13" t="b">
        <v>1</v>
      </c>
      <c r="J3" s="13" t="b">
        <v>1</v>
      </c>
      <c r="K3" s="14" t="s">
        <v>50</v>
      </c>
      <c r="L3" s="12">
        <v>1</v>
      </c>
      <c r="M3" s="12">
        <f t="shared" ref="M3:M14" si="0">POWER(2,L3-1)</f>
        <v>1</v>
      </c>
    </row>
    <row r="4" spans="1:13" x14ac:dyDescent="0.3">
      <c r="A4" s="12" t="s">
        <v>6</v>
      </c>
      <c r="B4" s="13" t="b">
        <v>1</v>
      </c>
      <c r="C4" s="14" t="s">
        <v>50</v>
      </c>
      <c r="D4" s="13" t="b">
        <v>1</v>
      </c>
      <c r="E4" s="13" t="b">
        <v>1</v>
      </c>
      <c r="F4" s="14" t="s">
        <v>50</v>
      </c>
      <c r="G4" s="13" t="b">
        <v>1</v>
      </c>
      <c r="H4" s="13" t="b">
        <v>1</v>
      </c>
      <c r="I4" s="14" t="s">
        <v>50</v>
      </c>
      <c r="J4" s="13" t="b">
        <v>1</v>
      </c>
      <c r="K4" s="14" t="s">
        <v>50</v>
      </c>
      <c r="L4" s="12">
        <v>2</v>
      </c>
      <c r="M4" s="12">
        <f t="shared" si="0"/>
        <v>2</v>
      </c>
    </row>
    <row r="5" spans="1:13" x14ac:dyDescent="0.3">
      <c r="A5" s="12" t="s">
        <v>7</v>
      </c>
      <c r="B5" s="13" t="b">
        <v>1</v>
      </c>
      <c r="C5" s="13" t="b">
        <v>1</v>
      </c>
      <c r="D5" s="13" t="b">
        <v>1</v>
      </c>
      <c r="E5" s="13" t="b">
        <v>1</v>
      </c>
      <c r="F5" s="13" t="b">
        <v>1</v>
      </c>
      <c r="G5" s="13" t="b">
        <v>1</v>
      </c>
      <c r="H5" s="14" t="s">
        <v>50</v>
      </c>
      <c r="I5" s="14" t="s">
        <v>50</v>
      </c>
      <c r="J5" s="14" t="s">
        <v>50</v>
      </c>
      <c r="K5" s="14" t="s">
        <v>50</v>
      </c>
      <c r="L5" s="12">
        <v>3</v>
      </c>
      <c r="M5" s="12">
        <f t="shared" si="0"/>
        <v>4</v>
      </c>
    </row>
    <row r="6" spans="1:13" x14ac:dyDescent="0.3">
      <c r="A6" s="12" t="s">
        <v>8</v>
      </c>
      <c r="B6" s="13" t="b">
        <v>1</v>
      </c>
      <c r="C6" s="14" t="s">
        <v>50</v>
      </c>
      <c r="D6" s="13" t="b">
        <v>1</v>
      </c>
      <c r="E6" s="13" t="b">
        <v>1</v>
      </c>
      <c r="F6" s="13" t="b">
        <v>1</v>
      </c>
      <c r="G6" s="13" t="b">
        <v>1</v>
      </c>
      <c r="H6" s="14" t="s">
        <v>50</v>
      </c>
      <c r="I6" s="14" t="s">
        <v>50</v>
      </c>
      <c r="J6" s="14" t="s">
        <v>50</v>
      </c>
      <c r="K6" s="13" t="b">
        <v>1</v>
      </c>
      <c r="L6" s="12">
        <v>4</v>
      </c>
      <c r="M6" s="12">
        <f t="shared" si="0"/>
        <v>8</v>
      </c>
    </row>
    <row r="7" spans="1:13" x14ac:dyDescent="0.3">
      <c r="A7" s="12" t="s">
        <v>9</v>
      </c>
      <c r="B7" s="13" t="b">
        <v>1</v>
      </c>
      <c r="C7" s="14" t="s">
        <v>50</v>
      </c>
      <c r="D7" s="14" t="s">
        <v>50</v>
      </c>
      <c r="E7" s="13" t="b">
        <v>1</v>
      </c>
      <c r="F7" s="13" t="b">
        <v>1</v>
      </c>
      <c r="G7" s="13" t="b">
        <v>1</v>
      </c>
      <c r="H7" s="14" t="s">
        <v>50</v>
      </c>
      <c r="I7" s="13" t="b">
        <v>1</v>
      </c>
      <c r="J7" s="13" t="b">
        <v>1</v>
      </c>
      <c r="K7" s="14" t="s">
        <v>50</v>
      </c>
      <c r="L7" s="12">
        <v>5</v>
      </c>
      <c r="M7" s="12">
        <f t="shared" si="0"/>
        <v>16</v>
      </c>
    </row>
    <row r="8" spans="1:13" x14ac:dyDescent="0.3">
      <c r="A8" s="12" t="s">
        <v>10</v>
      </c>
      <c r="B8" s="13" t="b">
        <v>1</v>
      </c>
      <c r="C8" s="14" t="s">
        <v>50</v>
      </c>
      <c r="D8" s="13" t="b">
        <v>1</v>
      </c>
      <c r="E8" s="14" t="s">
        <v>50</v>
      </c>
      <c r="F8" s="14" t="s">
        <v>50</v>
      </c>
      <c r="G8" s="13" t="b">
        <v>1</v>
      </c>
      <c r="H8" s="13" t="b">
        <v>1</v>
      </c>
      <c r="I8" s="14" t="s">
        <v>50</v>
      </c>
      <c r="J8" s="14" t="s">
        <v>50</v>
      </c>
      <c r="K8" s="13" t="b">
        <v>1</v>
      </c>
      <c r="L8" s="12">
        <v>6</v>
      </c>
      <c r="M8" s="12">
        <f t="shared" si="0"/>
        <v>32</v>
      </c>
    </row>
    <row r="9" spans="1:13" x14ac:dyDescent="0.3">
      <c r="A9" s="12" t="s">
        <v>11</v>
      </c>
      <c r="B9" s="13" t="b">
        <v>1</v>
      </c>
      <c r="C9" s="14" t="s">
        <v>50</v>
      </c>
      <c r="D9" s="14" t="s">
        <v>50</v>
      </c>
      <c r="E9" s="13" t="b">
        <v>1</v>
      </c>
      <c r="F9" s="14" t="s">
        <v>50</v>
      </c>
      <c r="G9" s="13" t="b">
        <v>1</v>
      </c>
      <c r="H9" s="14" t="s">
        <v>50</v>
      </c>
      <c r="I9" s="13" t="b">
        <v>1</v>
      </c>
      <c r="J9" s="13" t="b">
        <v>1</v>
      </c>
      <c r="K9" s="14" t="s">
        <v>50</v>
      </c>
      <c r="L9" s="12">
        <v>7</v>
      </c>
      <c r="M9" s="12">
        <f t="shared" si="0"/>
        <v>64</v>
      </c>
    </row>
    <row r="10" spans="1:13" x14ac:dyDescent="0.3">
      <c r="A10" s="12" t="s">
        <v>12</v>
      </c>
      <c r="B10" s="13" t="b">
        <v>1</v>
      </c>
      <c r="C10" s="14" t="s">
        <v>50</v>
      </c>
      <c r="D10" s="13" t="b">
        <v>1</v>
      </c>
      <c r="E10" s="13" t="b">
        <v>1</v>
      </c>
      <c r="F10" s="13" t="b">
        <v>1</v>
      </c>
      <c r="G10" s="13" t="b">
        <v>1</v>
      </c>
      <c r="H10" s="13" t="b">
        <v>1</v>
      </c>
      <c r="I10" s="13" t="b">
        <v>1</v>
      </c>
      <c r="J10" s="14" t="s">
        <v>50</v>
      </c>
      <c r="K10" s="14" t="s">
        <v>50</v>
      </c>
      <c r="L10" s="12">
        <v>8</v>
      </c>
      <c r="M10" s="12">
        <f t="shared" si="0"/>
        <v>128</v>
      </c>
    </row>
    <row r="11" spans="1:13" x14ac:dyDescent="0.3">
      <c r="A11" s="12" t="s">
        <v>13</v>
      </c>
      <c r="B11" s="13" t="b">
        <v>1</v>
      </c>
      <c r="C11" s="14" t="s">
        <v>50</v>
      </c>
      <c r="D11" s="13" t="b">
        <v>1</v>
      </c>
      <c r="E11" s="13" t="b">
        <v>1</v>
      </c>
      <c r="F11" s="13" t="b">
        <v>1</v>
      </c>
      <c r="G11" s="13" t="b">
        <v>1</v>
      </c>
      <c r="H11" s="13" t="b">
        <v>1</v>
      </c>
      <c r="I11" s="13" t="b">
        <v>1</v>
      </c>
      <c r="J11" s="13" t="b">
        <v>1</v>
      </c>
      <c r="K11" s="14" t="s">
        <v>50</v>
      </c>
      <c r="L11" s="12">
        <v>9</v>
      </c>
      <c r="M11" s="12">
        <f t="shared" si="0"/>
        <v>256</v>
      </c>
    </row>
    <row r="12" spans="1:13" x14ac:dyDescent="0.3">
      <c r="A12" s="12" t="s">
        <v>14</v>
      </c>
      <c r="B12" s="14" t="s">
        <v>50</v>
      </c>
      <c r="C12" s="13" t="b">
        <v>1</v>
      </c>
      <c r="D12" s="13" t="b">
        <v>1</v>
      </c>
      <c r="E12" s="13" t="b">
        <v>1</v>
      </c>
      <c r="F12" s="13" t="b">
        <v>1</v>
      </c>
      <c r="G12" s="13" t="b">
        <v>1</v>
      </c>
      <c r="H12" s="14" t="s">
        <v>50</v>
      </c>
      <c r="I12" s="13" t="b">
        <v>1</v>
      </c>
      <c r="J12" s="13" t="b">
        <v>1</v>
      </c>
      <c r="K12" s="14" t="s">
        <v>50</v>
      </c>
      <c r="L12" s="12">
        <v>10</v>
      </c>
      <c r="M12" s="12">
        <f t="shared" si="0"/>
        <v>512</v>
      </c>
    </row>
    <row r="13" spans="1:13" x14ac:dyDescent="0.3">
      <c r="A13" s="12" t="s">
        <v>15</v>
      </c>
      <c r="B13" s="13" t="b">
        <v>1</v>
      </c>
      <c r="C13" s="13" t="b">
        <v>1</v>
      </c>
      <c r="D13" s="13" t="b">
        <v>1</v>
      </c>
      <c r="E13" s="14" t="s">
        <v>50</v>
      </c>
      <c r="F13" s="13" t="b">
        <v>1</v>
      </c>
      <c r="G13" s="13" t="b">
        <v>1</v>
      </c>
      <c r="H13" s="13" t="b">
        <v>1</v>
      </c>
      <c r="I13" s="13" t="b">
        <v>1</v>
      </c>
      <c r="J13" s="14" t="s">
        <v>50</v>
      </c>
      <c r="K13" s="14" t="s">
        <v>50</v>
      </c>
      <c r="L13" s="12">
        <v>11</v>
      </c>
      <c r="M13" s="12">
        <f t="shared" si="0"/>
        <v>1024</v>
      </c>
    </row>
    <row r="14" spans="1:13" x14ac:dyDescent="0.3">
      <c r="A14" s="12" t="s">
        <v>16</v>
      </c>
      <c r="B14" s="13" t="b">
        <v>1</v>
      </c>
      <c r="C14" s="14" t="s">
        <v>50</v>
      </c>
      <c r="D14" s="13" t="b">
        <v>1</v>
      </c>
      <c r="E14" s="13" t="b">
        <v>1</v>
      </c>
      <c r="F14" s="13" t="b">
        <v>1</v>
      </c>
      <c r="G14" s="13" t="b">
        <v>1</v>
      </c>
      <c r="H14" s="14" t="s">
        <v>50</v>
      </c>
      <c r="I14" s="13" t="b">
        <v>1</v>
      </c>
      <c r="J14" s="13" t="b">
        <v>1</v>
      </c>
      <c r="K14" s="13" t="b">
        <v>1</v>
      </c>
      <c r="L14" s="12">
        <v>12</v>
      </c>
      <c r="M14" s="12">
        <f t="shared" si="0"/>
        <v>2048</v>
      </c>
    </row>
    <row r="15" spans="1:13" x14ac:dyDescent="0.3">
      <c r="A15" s="12" t="s">
        <v>51</v>
      </c>
      <c r="B15" s="12">
        <f t="shared" ref="B15:K15" si="1">SUMIFS($M$3:$M$14,B3:B14,"TRUE")</f>
        <v>3583</v>
      </c>
      <c r="C15" s="12">
        <f t="shared" si="1"/>
        <v>1541</v>
      </c>
      <c r="D15" s="12">
        <f t="shared" si="1"/>
        <v>4014</v>
      </c>
      <c r="E15" s="12">
        <f t="shared" si="1"/>
        <v>3039</v>
      </c>
      <c r="F15" s="12">
        <f t="shared" si="1"/>
        <v>3997</v>
      </c>
      <c r="G15" s="12">
        <f t="shared" si="1"/>
        <v>4095</v>
      </c>
      <c r="H15" s="12">
        <f t="shared" si="1"/>
        <v>1442</v>
      </c>
      <c r="I15" s="12">
        <f t="shared" si="1"/>
        <v>4049</v>
      </c>
      <c r="J15" s="12">
        <f t="shared" si="1"/>
        <v>2899</v>
      </c>
      <c r="K15" s="12">
        <f t="shared" si="1"/>
        <v>2088</v>
      </c>
    </row>
    <row r="17" spans="1:11" x14ac:dyDescent="0.3">
      <c r="A17" s="15" t="s">
        <v>52</v>
      </c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x14ac:dyDescent="0.3">
      <c r="A18" s="16" t="s">
        <v>53</v>
      </c>
      <c r="B18" s="12">
        <v>1</v>
      </c>
      <c r="C18" s="12">
        <v>2</v>
      </c>
      <c r="D18" s="12">
        <v>4</v>
      </c>
      <c r="E18" s="12">
        <v>8</v>
      </c>
      <c r="F18" s="12">
        <v>16</v>
      </c>
      <c r="G18" s="12">
        <v>32</v>
      </c>
      <c r="H18" s="12">
        <v>64</v>
      </c>
      <c r="I18" s="12">
        <v>128</v>
      </c>
      <c r="J18" s="12">
        <v>256</v>
      </c>
      <c r="K18" s="12">
        <v>1024</v>
      </c>
    </row>
    <row r="19" spans="1:11" x14ac:dyDescent="0.3">
      <c r="A19" s="12" t="s">
        <v>0</v>
      </c>
      <c r="B19" s="12" t="s">
        <v>18</v>
      </c>
      <c r="C19" s="12" t="s">
        <v>19</v>
      </c>
      <c r="D19" s="12" t="s">
        <v>20</v>
      </c>
      <c r="E19" s="12" t="s">
        <v>21</v>
      </c>
      <c r="F19" s="12" t="s">
        <v>22</v>
      </c>
      <c r="G19" s="12" t="s">
        <v>23</v>
      </c>
      <c r="H19" s="12" t="s">
        <v>24</v>
      </c>
      <c r="I19" s="12" t="s">
        <v>25</v>
      </c>
      <c r="J19" s="12" t="s">
        <v>26</v>
      </c>
      <c r="K19" s="12" t="s">
        <v>27</v>
      </c>
    </row>
    <row r="20" spans="1:11" x14ac:dyDescent="0.3">
      <c r="A20" s="12" t="s">
        <v>4</v>
      </c>
      <c r="B20" s="13" t="b">
        <v>1</v>
      </c>
      <c r="C20" s="17" t="b">
        <v>0</v>
      </c>
      <c r="D20" s="14" t="s">
        <v>50</v>
      </c>
      <c r="E20" s="17" t="b">
        <v>0</v>
      </c>
      <c r="F20" s="17" t="b">
        <v>0</v>
      </c>
      <c r="G20" s="13" t="b">
        <v>1</v>
      </c>
      <c r="H20" s="14" t="s">
        <v>50</v>
      </c>
      <c r="I20" s="17" t="b">
        <v>0</v>
      </c>
      <c r="J20" s="17" t="b">
        <v>0</v>
      </c>
      <c r="K20" s="14" t="s">
        <v>50</v>
      </c>
    </row>
    <row r="21" spans="1:11" x14ac:dyDescent="0.3">
      <c r="A21" s="12" t="s">
        <v>6</v>
      </c>
      <c r="B21" s="13" t="b">
        <v>1</v>
      </c>
      <c r="C21" s="14" t="s">
        <v>50</v>
      </c>
      <c r="D21" s="13" t="b">
        <v>1</v>
      </c>
      <c r="E21" s="17" t="b">
        <v>0</v>
      </c>
      <c r="F21" s="14" t="s">
        <v>50</v>
      </c>
      <c r="G21" s="13" t="b">
        <v>1</v>
      </c>
      <c r="H21" s="17" t="b">
        <v>0</v>
      </c>
      <c r="I21" s="14" t="s">
        <v>50</v>
      </c>
      <c r="J21" s="17" t="b">
        <v>0</v>
      </c>
      <c r="K21" s="14" t="s">
        <v>50</v>
      </c>
    </row>
    <row r="22" spans="1:11" x14ac:dyDescent="0.3">
      <c r="A22" s="12" t="s">
        <v>7</v>
      </c>
      <c r="B22" s="13" t="b">
        <v>1</v>
      </c>
      <c r="C22" s="17" t="b">
        <v>0</v>
      </c>
      <c r="D22" s="13" t="b">
        <v>1</v>
      </c>
      <c r="E22" s="17" t="b">
        <v>0</v>
      </c>
      <c r="F22" s="17" t="b">
        <v>0</v>
      </c>
      <c r="G22" s="13" t="b">
        <v>1</v>
      </c>
      <c r="H22" s="14" t="s">
        <v>50</v>
      </c>
      <c r="I22" s="14" t="s">
        <v>50</v>
      </c>
      <c r="J22" s="14" t="s">
        <v>50</v>
      </c>
      <c r="K22" s="14" t="s">
        <v>50</v>
      </c>
    </row>
    <row r="23" spans="1:11" x14ac:dyDescent="0.3">
      <c r="A23" s="12" t="s">
        <v>8</v>
      </c>
      <c r="B23" s="17" t="b">
        <v>0</v>
      </c>
      <c r="C23" s="14" t="s">
        <v>50</v>
      </c>
      <c r="D23" s="17" t="b">
        <v>0</v>
      </c>
      <c r="E23" s="17" t="b">
        <v>0</v>
      </c>
      <c r="F23" s="17" t="b">
        <v>0</v>
      </c>
      <c r="G23" s="13" t="b">
        <v>1</v>
      </c>
      <c r="H23" s="14" t="s">
        <v>50</v>
      </c>
      <c r="I23" s="14" t="s">
        <v>50</v>
      </c>
      <c r="J23" s="14" t="s">
        <v>50</v>
      </c>
      <c r="K23" s="17" t="b">
        <v>0</v>
      </c>
    </row>
    <row r="24" spans="1:11" x14ac:dyDescent="0.3">
      <c r="A24" s="12" t="s">
        <v>9</v>
      </c>
      <c r="B24" s="13" t="b">
        <v>1</v>
      </c>
      <c r="C24" s="14" t="s">
        <v>50</v>
      </c>
      <c r="D24" s="14" t="s">
        <v>50</v>
      </c>
      <c r="E24" s="17" t="b">
        <v>0</v>
      </c>
      <c r="F24" s="17" t="b">
        <v>0</v>
      </c>
      <c r="G24" s="13" t="b">
        <v>1</v>
      </c>
      <c r="H24" s="14" t="s">
        <v>50</v>
      </c>
      <c r="I24" s="17" t="b">
        <v>0</v>
      </c>
      <c r="J24" s="17" t="b">
        <v>0</v>
      </c>
      <c r="K24" s="14" t="s">
        <v>50</v>
      </c>
    </row>
    <row r="25" spans="1:11" x14ac:dyDescent="0.3">
      <c r="A25" s="12" t="s">
        <v>10</v>
      </c>
      <c r="B25" s="13" t="b">
        <v>1</v>
      </c>
      <c r="C25" s="14" t="s">
        <v>50</v>
      </c>
      <c r="D25" s="13" t="b">
        <v>1</v>
      </c>
      <c r="E25" s="14" t="s">
        <v>50</v>
      </c>
      <c r="F25" s="14" t="s">
        <v>50</v>
      </c>
      <c r="G25" s="13" t="b">
        <v>1</v>
      </c>
      <c r="H25" s="17" t="b">
        <v>0</v>
      </c>
      <c r="I25" s="14" t="s">
        <v>50</v>
      </c>
      <c r="J25" s="14" t="s">
        <v>50</v>
      </c>
      <c r="K25" s="17" t="b">
        <v>0</v>
      </c>
    </row>
    <row r="26" spans="1:11" x14ac:dyDescent="0.3">
      <c r="A26" s="12" t="s">
        <v>11</v>
      </c>
      <c r="B26" s="17" t="b">
        <v>0</v>
      </c>
      <c r="C26" s="14" t="s">
        <v>50</v>
      </c>
      <c r="D26" s="14" t="s">
        <v>50</v>
      </c>
      <c r="E26" s="17" t="b">
        <v>0</v>
      </c>
      <c r="F26" s="14" t="s">
        <v>50</v>
      </c>
      <c r="G26" s="13" t="b">
        <v>1</v>
      </c>
      <c r="H26" s="14" t="s">
        <v>50</v>
      </c>
      <c r="I26" s="17" t="b">
        <v>0</v>
      </c>
      <c r="J26" s="17" t="b">
        <v>0</v>
      </c>
      <c r="K26" s="14" t="s">
        <v>50</v>
      </c>
    </row>
    <row r="27" spans="1:11" x14ac:dyDescent="0.3">
      <c r="A27" s="12" t="s">
        <v>12</v>
      </c>
      <c r="B27" s="13" t="b">
        <v>1</v>
      </c>
      <c r="C27" s="14" t="s">
        <v>50</v>
      </c>
      <c r="D27" s="13" t="b">
        <v>1</v>
      </c>
      <c r="E27" s="17" t="b">
        <v>0</v>
      </c>
      <c r="F27" s="17" t="b">
        <v>0</v>
      </c>
      <c r="G27" s="13" t="b">
        <v>1</v>
      </c>
      <c r="H27" s="17" t="b">
        <v>0</v>
      </c>
      <c r="I27" s="17" t="b">
        <v>0</v>
      </c>
      <c r="J27" s="14" t="s">
        <v>50</v>
      </c>
      <c r="K27" s="14" t="s">
        <v>50</v>
      </c>
    </row>
    <row r="28" spans="1:11" x14ac:dyDescent="0.3">
      <c r="A28" s="12" t="s">
        <v>13</v>
      </c>
      <c r="B28" s="13" t="b">
        <v>1</v>
      </c>
      <c r="C28" s="14" t="s">
        <v>50</v>
      </c>
      <c r="D28" s="13" t="b">
        <v>1</v>
      </c>
      <c r="E28" s="17" t="b">
        <v>0</v>
      </c>
      <c r="F28" s="17" t="b">
        <v>0</v>
      </c>
      <c r="G28" s="13" t="b">
        <v>1</v>
      </c>
      <c r="H28" s="17" t="b">
        <v>0</v>
      </c>
      <c r="I28" s="17" t="b">
        <v>0</v>
      </c>
      <c r="J28" s="17" t="b">
        <v>0</v>
      </c>
      <c r="K28" s="14" t="s">
        <v>50</v>
      </c>
    </row>
    <row r="29" spans="1:11" x14ac:dyDescent="0.3">
      <c r="A29" s="12" t="s">
        <v>14</v>
      </c>
      <c r="B29" s="18" t="s">
        <v>50</v>
      </c>
      <c r="C29" s="17" t="b">
        <v>0</v>
      </c>
      <c r="D29" s="17" t="b">
        <v>0</v>
      </c>
      <c r="E29" s="17" t="b">
        <v>0</v>
      </c>
      <c r="F29" s="17" t="b">
        <v>0</v>
      </c>
      <c r="G29" s="13" t="b">
        <v>1</v>
      </c>
      <c r="H29" s="14" t="s">
        <v>50</v>
      </c>
      <c r="I29" s="17" t="b">
        <v>0</v>
      </c>
      <c r="J29" s="17" t="b">
        <v>0</v>
      </c>
      <c r="K29" s="14" t="s">
        <v>50</v>
      </c>
    </row>
    <row r="30" spans="1:11" x14ac:dyDescent="0.3">
      <c r="A30" s="12" t="s">
        <v>15</v>
      </c>
      <c r="B30" s="13" t="b">
        <v>1</v>
      </c>
      <c r="C30" s="17" t="b">
        <v>0</v>
      </c>
      <c r="D30" s="17" t="b">
        <v>0</v>
      </c>
      <c r="E30" s="14" t="s">
        <v>50</v>
      </c>
      <c r="F30" s="17" t="b">
        <v>0</v>
      </c>
      <c r="G30" s="13" t="b">
        <v>1</v>
      </c>
      <c r="H30" s="17" t="b">
        <v>0</v>
      </c>
      <c r="I30" s="17" t="b">
        <v>0</v>
      </c>
      <c r="J30" s="14" t="s">
        <v>50</v>
      </c>
      <c r="K30" s="14" t="s">
        <v>50</v>
      </c>
    </row>
    <row r="31" spans="1:11" x14ac:dyDescent="0.3">
      <c r="A31" s="12" t="s">
        <v>16</v>
      </c>
      <c r="B31" s="13" t="b">
        <v>1</v>
      </c>
      <c r="C31" s="14" t="s">
        <v>50</v>
      </c>
      <c r="D31" s="17" t="b">
        <v>0</v>
      </c>
      <c r="E31" s="17" t="b">
        <v>0</v>
      </c>
      <c r="F31" s="17" t="b">
        <v>0</v>
      </c>
      <c r="G31" s="13" t="b">
        <v>1</v>
      </c>
      <c r="H31" s="14" t="s">
        <v>50</v>
      </c>
      <c r="I31" s="17" t="b">
        <v>0</v>
      </c>
      <c r="J31" s="17" t="b">
        <v>0</v>
      </c>
      <c r="K31" s="17" t="b">
        <v>0</v>
      </c>
    </row>
    <row r="32" spans="1:11" x14ac:dyDescent="0.3">
      <c r="A32" s="12" t="s">
        <v>51</v>
      </c>
      <c r="B32" s="12">
        <f t="shared" ref="B32:K32" si="2">SUMIFS($M$3:$M$14,B20:B31,"TRUE")</f>
        <v>3511</v>
      </c>
      <c r="C32" s="12">
        <f t="shared" si="2"/>
        <v>0</v>
      </c>
      <c r="D32" s="12">
        <f t="shared" si="2"/>
        <v>422</v>
      </c>
      <c r="E32" s="12">
        <f t="shared" si="2"/>
        <v>0</v>
      </c>
      <c r="F32" s="12">
        <f t="shared" si="2"/>
        <v>0</v>
      </c>
      <c r="G32" s="12">
        <f t="shared" si="2"/>
        <v>4095</v>
      </c>
      <c r="H32" s="12">
        <f t="shared" si="2"/>
        <v>0</v>
      </c>
      <c r="I32" s="12">
        <f t="shared" si="2"/>
        <v>0</v>
      </c>
      <c r="J32" s="12">
        <f t="shared" si="2"/>
        <v>0</v>
      </c>
      <c r="K32" s="12">
        <f t="shared" si="2"/>
        <v>0</v>
      </c>
    </row>
    <row r="34" spans="1:11" x14ac:dyDescent="0.3">
      <c r="A34" s="15" t="s">
        <v>54</v>
      </c>
      <c r="B34" s="9"/>
      <c r="C34" s="9"/>
      <c r="D34" s="9"/>
      <c r="E34" s="9"/>
      <c r="F34" s="9"/>
      <c r="G34" s="9"/>
      <c r="H34" s="9"/>
      <c r="I34" s="9"/>
      <c r="J34" s="9"/>
      <c r="K34" s="10"/>
    </row>
    <row r="35" spans="1:11" x14ac:dyDescent="0.3">
      <c r="A35" s="16" t="s">
        <v>53</v>
      </c>
      <c r="B35" s="12">
        <v>1</v>
      </c>
      <c r="C35" s="12">
        <v>2</v>
      </c>
      <c r="D35" s="12">
        <v>4</v>
      </c>
      <c r="E35" s="12">
        <v>8</v>
      </c>
      <c r="F35" s="12">
        <v>16</v>
      </c>
      <c r="G35" s="12">
        <v>32</v>
      </c>
      <c r="H35" s="12">
        <v>64</v>
      </c>
      <c r="I35" s="12">
        <v>128</v>
      </c>
      <c r="J35" s="12">
        <v>256</v>
      </c>
      <c r="K35" s="12">
        <v>1024</v>
      </c>
    </row>
    <row r="36" spans="1:11" x14ac:dyDescent="0.3">
      <c r="A36" s="12" t="s">
        <v>0</v>
      </c>
      <c r="B36" s="12" t="s">
        <v>18</v>
      </c>
      <c r="C36" s="12" t="s">
        <v>19</v>
      </c>
      <c r="D36" s="12" t="s">
        <v>20</v>
      </c>
      <c r="E36" s="12" t="s">
        <v>21</v>
      </c>
      <c r="F36" s="12" t="s">
        <v>22</v>
      </c>
      <c r="G36" s="12" t="s">
        <v>23</v>
      </c>
      <c r="H36" s="12" t="s">
        <v>24</v>
      </c>
      <c r="I36" s="12" t="s">
        <v>25</v>
      </c>
      <c r="J36" s="12" t="s">
        <v>26</v>
      </c>
      <c r="K36" s="12" t="s">
        <v>27</v>
      </c>
    </row>
    <row r="37" spans="1:11" x14ac:dyDescent="0.3">
      <c r="A37" s="12" t="s">
        <v>4</v>
      </c>
      <c r="B37" s="13" t="b">
        <v>1</v>
      </c>
      <c r="C37" s="14" t="b">
        <v>0</v>
      </c>
      <c r="D37" s="14" t="s">
        <v>50</v>
      </c>
      <c r="E37" s="14" t="b">
        <v>0</v>
      </c>
      <c r="F37" s="14" t="b">
        <v>0</v>
      </c>
      <c r="G37" s="14" t="b">
        <v>0</v>
      </c>
      <c r="H37" s="14" t="s">
        <v>50</v>
      </c>
      <c r="I37" s="14" t="b">
        <v>0</v>
      </c>
      <c r="J37" s="14" t="b">
        <v>0</v>
      </c>
      <c r="K37" s="14" t="s">
        <v>50</v>
      </c>
    </row>
    <row r="38" spans="1:11" x14ac:dyDescent="0.3">
      <c r="A38" s="12" t="s">
        <v>6</v>
      </c>
      <c r="B38" s="13" t="b">
        <v>1</v>
      </c>
      <c r="C38" s="14" t="s">
        <v>50</v>
      </c>
      <c r="D38" s="13" t="b">
        <v>1</v>
      </c>
      <c r="E38" s="14" t="b">
        <v>0</v>
      </c>
      <c r="F38" s="14" t="s">
        <v>50</v>
      </c>
      <c r="G38" s="14" t="b">
        <v>0</v>
      </c>
      <c r="H38" s="14" t="b">
        <v>0</v>
      </c>
      <c r="I38" s="14" t="s">
        <v>50</v>
      </c>
      <c r="J38" s="14" t="b">
        <v>0</v>
      </c>
      <c r="K38" s="14" t="s">
        <v>50</v>
      </c>
    </row>
    <row r="39" spans="1:11" x14ac:dyDescent="0.3">
      <c r="A39" s="12" t="s">
        <v>7</v>
      </c>
      <c r="B39" s="17" t="b">
        <v>0</v>
      </c>
      <c r="C39" s="14" t="b">
        <v>0</v>
      </c>
      <c r="D39" s="14" t="b">
        <v>0</v>
      </c>
      <c r="E39" s="14" t="b">
        <v>0</v>
      </c>
      <c r="F39" s="14" t="b">
        <v>0</v>
      </c>
      <c r="G39" s="14" t="b">
        <v>0</v>
      </c>
      <c r="H39" s="14" t="s">
        <v>50</v>
      </c>
      <c r="I39" s="14" t="s">
        <v>50</v>
      </c>
      <c r="J39" s="14" t="s">
        <v>50</v>
      </c>
      <c r="K39" s="14" t="s">
        <v>50</v>
      </c>
    </row>
    <row r="40" spans="1:11" x14ac:dyDescent="0.3">
      <c r="A40" s="12" t="s">
        <v>8</v>
      </c>
      <c r="B40" s="13" t="b">
        <v>1</v>
      </c>
      <c r="C40" s="14" t="s">
        <v>50</v>
      </c>
      <c r="D40" s="13" t="b">
        <v>1</v>
      </c>
      <c r="E40" s="14" t="b">
        <v>0</v>
      </c>
      <c r="F40" s="14" t="b">
        <v>0</v>
      </c>
      <c r="G40" s="14" t="b">
        <v>0</v>
      </c>
      <c r="H40" s="14" t="s">
        <v>50</v>
      </c>
      <c r="I40" s="14" t="s">
        <v>50</v>
      </c>
      <c r="J40" s="14" t="s">
        <v>50</v>
      </c>
      <c r="K40" s="14" t="b">
        <v>0</v>
      </c>
    </row>
    <row r="41" spans="1:11" x14ac:dyDescent="0.3">
      <c r="A41" s="12" t="s">
        <v>9</v>
      </c>
      <c r="B41" s="13" t="b">
        <v>1</v>
      </c>
      <c r="C41" s="14" t="s">
        <v>50</v>
      </c>
      <c r="D41" s="14" t="s">
        <v>50</v>
      </c>
      <c r="E41" s="14" t="b">
        <v>0</v>
      </c>
      <c r="F41" s="14" t="b">
        <v>0</v>
      </c>
      <c r="G41" s="14" t="b">
        <v>0</v>
      </c>
      <c r="H41" s="14" t="s">
        <v>50</v>
      </c>
      <c r="I41" s="14" t="b">
        <v>0</v>
      </c>
      <c r="J41" s="14" t="b">
        <v>0</v>
      </c>
      <c r="K41" s="14" t="s">
        <v>50</v>
      </c>
    </row>
    <row r="42" spans="1:11" x14ac:dyDescent="0.3">
      <c r="A42" s="12" t="s">
        <v>10</v>
      </c>
      <c r="B42" s="17" t="b">
        <v>0</v>
      </c>
      <c r="C42" s="14" t="s">
        <v>50</v>
      </c>
      <c r="D42" s="14" t="b">
        <v>0</v>
      </c>
      <c r="E42" s="14" t="s">
        <v>50</v>
      </c>
      <c r="F42" s="14" t="s">
        <v>50</v>
      </c>
      <c r="G42" s="14" t="b">
        <v>0</v>
      </c>
      <c r="H42" s="14" t="b">
        <v>0</v>
      </c>
      <c r="I42" s="14" t="s">
        <v>50</v>
      </c>
      <c r="J42" s="14" t="s">
        <v>50</v>
      </c>
      <c r="K42" s="14" t="b">
        <v>0</v>
      </c>
    </row>
    <row r="43" spans="1:11" x14ac:dyDescent="0.3">
      <c r="A43" s="12" t="s">
        <v>11</v>
      </c>
      <c r="B43" s="17" t="b">
        <v>0</v>
      </c>
      <c r="C43" s="14" t="s">
        <v>50</v>
      </c>
      <c r="D43" s="14" t="s">
        <v>50</v>
      </c>
      <c r="E43" s="14" t="b">
        <v>0</v>
      </c>
      <c r="F43" s="14" t="s">
        <v>50</v>
      </c>
      <c r="G43" s="14" t="b">
        <v>0</v>
      </c>
      <c r="H43" s="14" t="s">
        <v>50</v>
      </c>
      <c r="I43" s="14" t="b">
        <v>0</v>
      </c>
      <c r="J43" s="14" t="b">
        <v>0</v>
      </c>
      <c r="K43" s="14" t="s">
        <v>50</v>
      </c>
    </row>
    <row r="44" spans="1:11" x14ac:dyDescent="0.3">
      <c r="A44" s="12" t="s">
        <v>12</v>
      </c>
      <c r="B44" s="17" t="b">
        <v>0</v>
      </c>
      <c r="C44" s="14" t="s">
        <v>50</v>
      </c>
      <c r="D44" s="13" t="b">
        <v>1</v>
      </c>
      <c r="E44" s="14" t="b">
        <v>0</v>
      </c>
      <c r="F44" s="14" t="b">
        <v>0</v>
      </c>
      <c r="G44" s="14" t="b">
        <v>0</v>
      </c>
      <c r="H44" s="14" t="b">
        <v>0</v>
      </c>
      <c r="I44" s="14" t="b">
        <v>0</v>
      </c>
      <c r="J44" s="14" t="s">
        <v>50</v>
      </c>
      <c r="K44" s="14" t="s">
        <v>50</v>
      </c>
    </row>
    <row r="45" spans="1:11" x14ac:dyDescent="0.3">
      <c r="A45" s="12" t="s">
        <v>13</v>
      </c>
      <c r="B45" s="17" t="b">
        <v>0</v>
      </c>
      <c r="C45" s="14" t="s">
        <v>50</v>
      </c>
      <c r="D45" s="14" t="b">
        <v>0</v>
      </c>
      <c r="E45" s="14" t="b">
        <v>0</v>
      </c>
      <c r="F45" s="14" t="b">
        <v>0</v>
      </c>
      <c r="G45" s="14" t="b">
        <v>0</v>
      </c>
      <c r="H45" s="14" t="b">
        <v>0</v>
      </c>
      <c r="I45" s="14" t="b">
        <v>0</v>
      </c>
      <c r="J45" s="14" t="b">
        <v>0</v>
      </c>
      <c r="K45" s="14" t="s">
        <v>50</v>
      </c>
    </row>
    <row r="46" spans="1:11" x14ac:dyDescent="0.3">
      <c r="A46" s="12" t="s">
        <v>14</v>
      </c>
      <c r="B46" s="14" t="s">
        <v>50</v>
      </c>
      <c r="C46" s="14" t="b">
        <v>0</v>
      </c>
      <c r="D46" s="13" t="b">
        <v>1</v>
      </c>
      <c r="E46" s="14" t="b">
        <v>0</v>
      </c>
      <c r="F46" s="14" t="b">
        <v>0</v>
      </c>
      <c r="G46" s="14" t="b">
        <v>0</v>
      </c>
      <c r="H46" s="14" t="s">
        <v>50</v>
      </c>
      <c r="I46" s="14" t="b">
        <v>0</v>
      </c>
      <c r="J46" s="14" t="b">
        <v>0</v>
      </c>
      <c r="K46" s="14" t="s">
        <v>50</v>
      </c>
    </row>
    <row r="47" spans="1:11" x14ac:dyDescent="0.3">
      <c r="A47" s="12" t="s">
        <v>15</v>
      </c>
      <c r="B47" s="17" t="b">
        <v>0</v>
      </c>
      <c r="C47" s="14" t="b">
        <v>0</v>
      </c>
      <c r="D47" s="14" t="b">
        <v>0</v>
      </c>
      <c r="E47" s="14" t="s">
        <v>50</v>
      </c>
      <c r="F47" s="14" t="b">
        <v>0</v>
      </c>
      <c r="G47" s="14" t="b">
        <v>0</v>
      </c>
      <c r="H47" s="14" t="b">
        <v>0</v>
      </c>
      <c r="I47" s="14" t="b">
        <v>0</v>
      </c>
      <c r="J47" s="14" t="s">
        <v>50</v>
      </c>
      <c r="K47" s="14" t="s">
        <v>50</v>
      </c>
    </row>
    <row r="48" spans="1:11" x14ac:dyDescent="0.3">
      <c r="A48" s="12" t="s">
        <v>16</v>
      </c>
      <c r="B48" s="17" t="b">
        <v>0</v>
      </c>
      <c r="C48" s="14" t="s">
        <v>50</v>
      </c>
      <c r="D48" s="14" t="b">
        <v>0</v>
      </c>
      <c r="E48" s="14" t="b">
        <v>0</v>
      </c>
      <c r="F48" s="14" t="b">
        <v>0</v>
      </c>
      <c r="G48" s="14" t="b">
        <v>0</v>
      </c>
      <c r="H48" s="14" t="s">
        <v>50</v>
      </c>
      <c r="I48" s="14" t="b">
        <v>0</v>
      </c>
      <c r="J48" s="14" t="b">
        <v>0</v>
      </c>
      <c r="K48" s="14" t="b">
        <v>0</v>
      </c>
    </row>
    <row r="49" spans="1:11" x14ac:dyDescent="0.3">
      <c r="A49" s="12" t="s">
        <v>51</v>
      </c>
      <c r="B49" s="12">
        <f t="shared" ref="B49:K49" si="3">SUMIFS($M$3:$M$14,B37:B48,"TRUE")</f>
        <v>27</v>
      </c>
      <c r="C49" s="12">
        <f t="shared" si="3"/>
        <v>0</v>
      </c>
      <c r="D49" s="12">
        <f t="shared" si="3"/>
        <v>650</v>
      </c>
      <c r="E49" s="12">
        <f t="shared" si="3"/>
        <v>0</v>
      </c>
      <c r="F49" s="12">
        <f t="shared" si="3"/>
        <v>0</v>
      </c>
      <c r="G49" s="12">
        <f t="shared" si="3"/>
        <v>0</v>
      </c>
      <c r="H49" s="12">
        <f t="shared" si="3"/>
        <v>0</v>
      </c>
      <c r="I49" s="12">
        <f t="shared" si="3"/>
        <v>0</v>
      </c>
      <c r="J49" s="12">
        <f t="shared" si="3"/>
        <v>0</v>
      </c>
      <c r="K49" s="12">
        <f t="shared" si="3"/>
        <v>0</v>
      </c>
    </row>
    <row r="51" spans="1:11" x14ac:dyDescent="0.3">
      <c r="A51" s="15" t="s">
        <v>55</v>
      </c>
      <c r="B51" s="9"/>
      <c r="C51" s="9"/>
      <c r="D51" s="9"/>
      <c r="E51" s="9"/>
      <c r="F51" s="9"/>
      <c r="G51" s="9"/>
      <c r="H51" s="9"/>
      <c r="I51" s="9"/>
      <c r="J51" s="9"/>
      <c r="K51" s="10"/>
    </row>
    <row r="52" spans="1:11" x14ac:dyDescent="0.3">
      <c r="A52" s="16" t="s">
        <v>53</v>
      </c>
      <c r="B52" s="12">
        <v>1</v>
      </c>
      <c r="C52" s="12">
        <v>2</v>
      </c>
      <c r="D52" s="12">
        <v>4</v>
      </c>
      <c r="E52" s="12">
        <v>8</v>
      </c>
      <c r="F52" s="12">
        <v>16</v>
      </c>
      <c r="G52" s="12">
        <v>32</v>
      </c>
      <c r="H52" s="12">
        <v>64</v>
      </c>
      <c r="I52" s="12">
        <v>128</v>
      </c>
      <c r="J52" s="12">
        <v>256</v>
      </c>
      <c r="K52" s="12">
        <v>1024</v>
      </c>
    </row>
    <row r="53" spans="1:11" x14ac:dyDescent="0.3">
      <c r="A53" s="12" t="s">
        <v>0</v>
      </c>
      <c r="B53" s="12" t="s">
        <v>18</v>
      </c>
      <c r="C53" s="12" t="s">
        <v>19</v>
      </c>
      <c r="D53" s="12" t="s">
        <v>20</v>
      </c>
      <c r="E53" s="12" t="s">
        <v>21</v>
      </c>
      <c r="F53" s="12" t="s">
        <v>22</v>
      </c>
      <c r="G53" s="12" t="s">
        <v>23</v>
      </c>
      <c r="H53" s="12" t="s">
        <v>24</v>
      </c>
      <c r="I53" s="12" t="s">
        <v>25</v>
      </c>
      <c r="J53" s="12" t="s">
        <v>26</v>
      </c>
      <c r="K53" s="12" t="s">
        <v>27</v>
      </c>
    </row>
    <row r="54" spans="1:11" x14ac:dyDescent="0.3">
      <c r="A54" s="12" t="s">
        <v>4</v>
      </c>
      <c r="B54" s="17" t="b">
        <v>0</v>
      </c>
      <c r="C54" s="14" t="b">
        <v>0</v>
      </c>
      <c r="D54" s="14" t="s">
        <v>50</v>
      </c>
      <c r="E54" s="14" t="b">
        <v>0</v>
      </c>
      <c r="F54" s="14" t="b">
        <v>0</v>
      </c>
      <c r="G54" s="14" t="b">
        <v>0</v>
      </c>
      <c r="H54" s="14" t="s">
        <v>50</v>
      </c>
      <c r="I54" s="14" t="b">
        <v>0</v>
      </c>
      <c r="J54" s="14" t="b">
        <v>0</v>
      </c>
      <c r="K54" s="14" t="s">
        <v>50</v>
      </c>
    </row>
    <row r="55" spans="1:11" x14ac:dyDescent="0.3">
      <c r="A55" s="12" t="s">
        <v>6</v>
      </c>
      <c r="B55" s="17" t="b">
        <v>0</v>
      </c>
      <c r="C55" s="14" t="s">
        <v>50</v>
      </c>
      <c r="D55" s="14" t="b">
        <v>0</v>
      </c>
      <c r="E55" s="14" t="b">
        <v>0</v>
      </c>
      <c r="F55" s="14" t="s">
        <v>50</v>
      </c>
      <c r="G55" s="14" t="b">
        <v>0</v>
      </c>
      <c r="H55" s="14" t="b">
        <v>0</v>
      </c>
      <c r="I55" s="14" t="s">
        <v>50</v>
      </c>
      <c r="J55" s="14" t="b">
        <v>0</v>
      </c>
      <c r="K55" s="14" t="s">
        <v>50</v>
      </c>
    </row>
    <row r="56" spans="1:11" x14ac:dyDescent="0.3">
      <c r="A56" s="12" t="s">
        <v>7</v>
      </c>
      <c r="B56" s="17" t="b">
        <v>0</v>
      </c>
      <c r="C56" s="14" t="b">
        <v>0</v>
      </c>
      <c r="D56" s="14" t="b">
        <v>0</v>
      </c>
      <c r="E56" s="14" t="b">
        <v>0</v>
      </c>
      <c r="F56" s="14" t="b">
        <v>0</v>
      </c>
      <c r="G56" s="14" t="b">
        <v>0</v>
      </c>
      <c r="H56" s="14" t="s">
        <v>50</v>
      </c>
      <c r="I56" s="14" t="s">
        <v>50</v>
      </c>
      <c r="J56" s="14" t="s">
        <v>50</v>
      </c>
      <c r="K56" s="14" t="s">
        <v>50</v>
      </c>
    </row>
    <row r="57" spans="1:11" x14ac:dyDescent="0.3">
      <c r="A57" s="12" t="s">
        <v>8</v>
      </c>
      <c r="B57" s="17" t="b">
        <v>0</v>
      </c>
      <c r="C57" s="14" t="s">
        <v>50</v>
      </c>
      <c r="D57" s="14" t="b">
        <v>0</v>
      </c>
      <c r="E57" s="14" t="b">
        <v>0</v>
      </c>
      <c r="F57" s="14" t="b">
        <v>0</v>
      </c>
      <c r="G57" s="14" t="b">
        <v>0</v>
      </c>
      <c r="H57" s="14" t="s">
        <v>50</v>
      </c>
      <c r="I57" s="14" t="s">
        <v>50</v>
      </c>
      <c r="J57" s="14" t="s">
        <v>50</v>
      </c>
      <c r="K57" s="14" t="b">
        <v>0</v>
      </c>
    </row>
    <row r="58" spans="1:11" x14ac:dyDescent="0.3">
      <c r="A58" s="12" t="s">
        <v>9</v>
      </c>
      <c r="B58" s="17" t="b">
        <v>0</v>
      </c>
      <c r="C58" s="14" t="s">
        <v>50</v>
      </c>
      <c r="D58" s="14" t="s">
        <v>50</v>
      </c>
      <c r="E58" s="14" t="b">
        <v>0</v>
      </c>
      <c r="F58" s="14" t="b">
        <v>0</v>
      </c>
      <c r="G58" s="14" t="b">
        <v>0</v>
      </c>
      <c r="H58" s="14" t="s">
        <v>50</v>
      </c>
      <c r="I58" s="14" t="b">
        <v>0</v>
      </c>
      <c r="J58" s="14" t="b">
        <v>0</v>
      </c>
      <c r="K58" s="14" t="s">
        <v>50</v>
      </c>
    </row>
    <row r="59" spans="1:11" x14ac:dyDescent="0.3">
      <c r="A59" s="12" t="s">
        <v>10</v>
      </c>
      <c r="B59" s="17" t="b">
        <v>0</v>
      </c>
      <c r="C59" s="14" t="s">
        <v>50</v>
      </c>
      <c r="D59" s="14" t="b">
        <v>0</v>
      </c>
      <c r="E59" s="14" t="s">
        <v>50</v>
      </c>
      <c r="F59" s="14" t="s">
        <v>50</v>
      </c>
      <c r="G59" s="14" t="b">
        <v>0</v>
      </c>
      <c r="H59" s="14" t="b">
        <v>0</v>
      </c>
      <c r="I59" s="14" t="s">
        <v>50</v>
      </c>
      <c r="J59" s="14" t="s">
        <v>50</v>
      </c>
      <c r="K59" s="14" t="b">
        <v>0</v>
      </c>
    </row>
    <row r="60" spans="1:11" x14ac:dyDescent="0.3">
      <c r="A60" s="12" t="s">
        <v>11</v>
      </c>
      <c r="B60" s="17" t="b">
        <v>0</v>
      </c>
      <c r="C60" s="14" t="s">
        <v>50</v>
      </c>
      <c r="D60" s="14" t="s">
        <v>50</v>
      </c>
      <c r="E60" s="14" t="b">
        <v>0</v>
      </c>
      <c r="F60" s="14" t="s">
        <v>50</v>
      </c>
      <c r="G60" s="14" t="b">
        <v>0</v>
      </c>
      <c r="H60" s="14" t="s">
        <v>50</v>
      </c>
      <c r="I60" s="14" t="b">
        <v>0</v>
      </c>
      <c r="J60" s="14" t="b">
        <v>0</v>
      </c>
      <c r="K60" s="14" t="s">
        <v>50</v>
      </c>
    </row>
    <row r="61" spans="1:11" x14ac:dyDescent="0.3">
      <c r="A61" s="12" t="s">
        <v>12</v>
      </c>
      <c r="B61" s="17" t="b">
        <v>0</v>
      </c>
      <c r="C61" s="14" t="s">
        <v>50</v>
      </c>
      <c r="D61" s="14" t="b">
        <v>0</v>
      </c>
      <c r="E61" s="14" t="b">
        <v>0</v>
      </c>
      <c r="F61" s="14" t="b">
        <v>0</v>
      </c>
      <c r="G61" s="14" t="b">
        <v>0</v>
      </c>
      <c r="H61" s="14" t="b">
        <v>0</v>
      </c>
      <c r="I61" s="14" t="b">
        <v>0</v>
      </c>
      <c r="J61" s="14" t="s">
        <v>50</v>
      </c>
      <c r="K61" s="14" t="s">
        <v>50</v>
      </c>
    </row>
    <row r="62" spans="1:11" x14ac:dyDescent="0.3">
      <c r="A62" s="12" t="s">
        <v>13</v>
      </c>
      <c r="B62" s="17" t="b">
        <v>0</v>
      </c>
      <c r="C62" s="14" t="s">
        <v>50</v>
      </c>
      <c r="D62" s="14" t="b">
        <v>0</v>
      </c>
      <c r="E62" s="14" t="b">
        <v>0</v>
      </c>
      <c r="F62" s="14" t="b">
        <v>0</v>
      </c>
      <c r="G62" s="14" t="b">
        <v>0</v>
      </c>
      <c r="H62" s="14" t="b">
        <v>0</v>
      </c>
      <c r="I62" s="14" t="b">
        <v>0</v>
      </c>
      <c r="J62" s="14" t="b">
        <v>0</v>
      </c>
      <c r="K62" s="14" t="s">
        <v>50</v>
      </c>
    </row>
    <row r="63" spans="1:11" x14ac:dyDescent="0.3">
      <c r="A63" s="12" t="s">
        <v>14</v>
      </c>
      <c r="B63" s="14" t="s">
        <v>50</v>
      </c>
      <c r="C63" s="14" t="b">
        <v>0</v>
      </c>
      <c r="D63" s="14" t="b">
        <v>0</v>
      </c>
      <c r="E63" s="14" t="b">
        <v>0</v>
      </c>
      <c r="F63" s="14" t="b">
        <v>0</v>
      </c>
      <c r="G63" s="14" t="b">
        <v>0</v>
      </c>
      <c r="H63" s="14" t="s">
        <v>50</v>
      </c>
      <c r="I63" s="14" t="b">
        <v>0</v>
      </c>
      <c r="J63" s="14" t="b">
        <v>0</v>
      </c>
      <c r="K63" s="14" t="s">
        <v>50</v>
      </c>
    </row>
    <row r="64" spans="1:11" x14ac:dyDescent="0.3">
      <c r="A64" s="12" t="s">
        <v>15</v>
      </c>
      <c r="B64" s="13" t="b">
        <v>1</v>
      </c>
      <c r="C64" s="14" t="b">
        <v>0</v>
      </c>
      <c r="D64" s="13" t="b">
        <v>1</v>
      </c>
      <c r="E64" s="14" t="s">
        <v>50</v>
      </c>
      <c r="F64" s="14" t="b">
        <v>0</v>
      </c>
      <c r="G64" s="14" t="b">
        <v>0</v>
      </c>
      <c r="H64" s="14" t="b">
        <v>0</v>
      </c>
      <c r="I64" s="14" t="b">
        <v>0</v>
      </c>
      <c r="J64" s="14" t="s">
        <v>50</v>
      </c>
      <c r="K64" s="14" t="s">
        <v>50</v>
      </c>
    </row>
    <row r="65" spans="1:11" x14ac:dyDescent="0.3">
      <c r="A65" s="12" t="s">
        <v>16</v>
      </c>
      <c r="B65" s="17" t="b">
        <v>0</v>
      </c>
      <c r="C65" s="14" t="s">
        <v>50</v>
      </c>
      <c r="D65" s="14" t="b">
        <v>0</v>
      </c>
      <c r="E65" s="14" t="b">
        <v>0</v>
      </c>
      <c r="F65" s="14" t="b">
        <v>0</v>
      </c>
      <c r="G65" s="14" t="b">
        <v>0</v>
      </c>
      <c r="H65" s="14" t="s">
        <v>50</v>
      </c>
      <c r="I65" s="14" t="b">
        <v>0</v>
      </c>
      <c r="J65" s="14" t="b">
        <v>0</v>
      </c>
      <c r="K65" s="14" t="b">
        <v>0</v>
      </c>
    </row>
    <row r="66" spans="1:11" x14ac:dyDescent="0.3">
      <c r="A66" s="12" t="s">
        <v>51</v>
      </c>
      <c r="B66" s="12">
        <f t="shared" ref="B66:K66" si="4">SUMIFS($M$3:$M$14,B54:B65,"TRUE")</f>
        <v>1024</v>
      </c>
      <c r="C66" s="12">
        <f t="shared" si="4"/>
        <v>0</v>
      </c>
      <c r="D66" s="12">
        <f t="shared" si="4"/>
        <v>1024</v>
      </c>
      <c r="E66" s="12">
        <f t="shared" si="4"/>
        <v>0</v>
      </c>
      <c r="F66" s="12">
        <f t="shared" si="4"/>
        <v>0</v>
      </c>
      <c r="G66" s="12">
        <f t="shared" si="4"/>
        <v>0</v>
      </c>
      <c r="H66" s="12">
        <f t="shared" si="4"/>
        <v>0</v>
      </c>
      <c r="I66" s="12">
        <f t="shared" si="4"/>
        <v>0</v>
      </c>
      <c r="J66" s="12">
        <f t="shared" si="4"/>
        <v>0</v>
      </c>
      <c r="K66" s="12">
        <f t="shared" si="4"/>
        <v>0</v>
      </c>
    </row>
    <row r="68" spans="1:11" x14ac:dyDescent="0.3">
      <c r="A68" s="15" t="s">
        <v>56</v>
      </c>
      <c r="B68" s="9"/>
      <c r="C68" s="9"/>
      <c r="D68" s="9"/>
      <c r="E68" s="9"/>
      <c r="F68" s="9"/>
      <c r="G68" s="9"/>
      <c r="H68" s="9"/>
      <c r="I68" s="9"/>
      <c r="J68" s="9"/>
      <c r="K68" s="10"/>
    </row>
    <row r="69" spans="1:11" x14ac:dyDescent="0.3">
      <c r="A69" s="16" t="s">
        <v>53</v>
      </c>
      <c r="B69" s="12">
        <v>1</v>
      </c>
      <c r="C69" s="12">
        <v>2</v>
      </c>
      <c r="D69" s="12">
        <v>4</v>
      </c>
      <c r="E69" s="12">
        <v>8</v>
      </c>
      <c r="F69" s="12">
        <v>16</v>
      </c>
      <c r="G69" s="12">
        <v>32</v>
      </c>
      <c r="H69" s="12">
        <v>64</v>
      </c>
      <c r="I69" s="12">
        <v>128</v>
      </c>
      <c r="J69" s="12">
        <v>256</v>
      </c>
      <c r="K69" s="12">
        <v>1024</v>
      </c>
    </row>
    <row r="70" spans="1:11" x14ac:dyDescent="0.3">
      <c r="A70" s="12" t="s">
        <v>0</v>
      </c>
      <c r="B70" s="12" t="s">
        <v>18</v>
      </c>
      <c r="C70" s="12" t="s">
        <v>19</v>
      </c>
      <c r="D70" s="12" t="s">
        <v>20</v>
      </c>
      <c r="E70" s="12" t="s">
        <v>21</v>
      </c>
      <c r="F70" s="12" t="s">
        <v>22</v>
      </c>
      <c r="G70" s="12" t="s">
        <v>23</v>
      </c>
      <c r="H70" s="12" t="s">
        <v>24</v>
      </c>
      <c r="I70" s="12" t="s">
        <v>25</v>
      </c>
      <c r="J70" s="12" t="s">
        <v>26</v>
      </c>
      <c r="K70" s="12" t="s">
        <v>27</v>
      </c>
    </row>
    <row r="71" spans="1:11" x14ac:dyDescent="0.3">
      <c r="A71" s="12" t="s">
        <v>4</v>
      </c>
      <c r="B71" s="17" t="b">
        <v>0</v>
      </c>
      <c r="C71" s="14" t="b">
        <v>0</v>
      </c>
      <c r="D71" s="14" t="s">
        <v>50</v>
      </c>
      <c r="E71" s="13" t="b">
        <v>1</v>
      </c>
      <c r="F71" s="14" t="b">
        <v>0</v>
      </c>
      <c r="G71" s="14" t="b">
        <v>0</v>
      </c>
      <c r="H71" s="14" t="s">
        <v>50</v>
      </c>
      <c r="I71" s="14" t="b">
        <v>0</v>
      </c>
      <c r="J71" s="13" t="b">
        <v>1</v>
      </c>
      <c r="K71" s="14" t="s">
        <v>50</v>
      </c>
    </row>
    <row r="72" spans="1:11" x14ac:dyDescent="0.3">
      <c r="A72" s="12" t="s">
        <v>6</v>
      </c>
      <c r="B72" s="17" t="b">
        <v>0</v>
      </c>
      <c r="C72" s="14" t="s">
        <v>50</v>
      </c>
      <c r="D72" s="14" t="b">
        <v>0</v>
      </c>
      <c r="E72" s="13" t="b">
        <v>1</v>
      </c>
      <c r="F72" s="14" t="s">
        <v>50</v>
      </c>
      <c r="G72" s="14" t="b">
        <v>0</v>
      </c>
      <c r="H72" s="14" t="b">
        <v>0</v>
      </c>
      <c r="I72" s="14" t="s">
        <v>50</v>
      </c>
      <c r="J72" s="13" t="b">
        <v>1</v>
      </c>
      <c r="K72" s="14" t="s">
        <v>50</v>
      </c>
    </row>
    <row r="73" spans="1:11" x14ac:dyDescent="0.3">
      <c r="A73" s="12" t="s">
        <v>7</v>
      </c>
      <c r="B73" s="17" t="b">
        <v>0</v>
      </c>
      <c r="C73" s="14" t="b">
        <v>0</v>
      </c>
      <c r="D73" s="14" t="b">
        <v>0</v>
      </c>
      <c r="E73" s="13" t="b">
        <v>1</v>
      </c>
      <c r="F73" s="14" t="b">
        <v>0</v>
      </c>
      <c r="G73" s="14" t="b">
        <v>0</v>
      </c>
      <c r="H73" s="14" t="s">
        <v>50</v>
      </c>
      <c r="I73" s="14" t="s">
        <v>50</v>
      </c>
      <c r="J73" s="14" t="s">
        <v>50</v>
      </c>
      <c r="K73" s="14" t="s">
        <v>50</v>
      </c>
    </row>
    <row r="74" spans="1:11" x14ac:dyDescent="0.3">
      <c r="A74" s="12" t="s">
        <v>8</v>
      </c>
      <c r="B74" s="13" t="b">
        <v>1</v>
      </c>
      <c r="C74" s="14" t="s">
        <v>50</v>
      </c>
      <c r="D74" s="13" t="b">
        <v>1</v>
      </c>
      <c r="E74" s="13" t="b">
        <v>1</v>
      </c>
      <c r="F74" s="14" t="b">
        <v>0</v>
      </c>
      <c r="G74" s="14" t="b">
        <v>0</v>
      </c>
      <c r="H74" s="14" t="s">
        <v>50</v>
      </c>
      <c r="I74" s="14" t="s">
        <v>50</v>
      </c>
      <c r="J74" s="14" t="s">
        <v>50</v>
      </c>
      <c r="K74" s="13" t="b">
        <v>1</v>
      </c>
    </row>
    <row r="75" spans="1:11" x14ac:dyDescent="0.3">
      <c r="A75" s="12" t="s">
        <v>9</v>
      </c>
      <c r="B75" s="17" t="b">
        <v>0</v>
      </c>
      <c r="C75" s="14" t="s">
        <v>50</v>
      </c>
      <c r="D75" s="14" t="s">
        <v>50</v>
      </c>
      <c r="E75" s="13" t="b">
        <v>1</v>
      </c>
      <c r="F75" s="14" t="b">
        <v>0</v>
      </c>
      <c r="G75" s="14" t="b">
        <v>0</v>
      </c>
      <c r="H75" s="14" t="s">
        <v>50</v>
      </c>
      <c r="I75" s="14" t="b">
        <v>0</v>
      </c>
      <c r="J75" s="13" t="b">
        <v>1</v>
      </c>
      <c r="K75" s="14" t="s">
        <v>50</v>
      </c>
    </row>
    <row r="76" spans="1:11" x14ac:dyDescent="0.3">
      <c r="A76" s="12" t="s">
        <v>10</v>
      </c>
      <c r="B76" s="17" t="b">
        <v>0</v>
      </c>
      <c r="C76" s="14" t="s">
        <v>50</v>
      </c>
      <c r="D76" s="14" t="b">
        <v>0</v>
      </c>
      <c r="E76" s="14" t="s">
        <v>50</v>
      </c>
      <c r="F76" s="14" t="s">
        <v>50</v>
      </c>
      <c r="G76" s="14" t="b">
        <v>0</v>
      </c>
      <c r="H76" s="14" t="b">
        <v>0</v>
      </c>
      <c r="I76" s="14" t="s">
        <v>50</v>
      </c>
      <c r="J76" s="14" t="s">
        <v>50</v>
      </c>
      <c r="K76" s="14" t="b">
        <v>0</v>
      </c>
    </row>
    <row r="77" spans="1:11" x14ac:dyDescent="0.3">
      <c r="A77" s="12" t="s">
        <v>11</v>
      </c>
      <c r="B77" s="13" t="b">
        <v>1</v>
      </c>
      <c r="C77" s="14" t="s">
        <v>50</v>
      </c>
      <c r="D77" s="14" t="s">
        <v>50</v>
      </c>
      <c r="E77" s="13" t="b">
        <v>1</v>
      </c>
      <c r="F77" s="14" t="s">
        <v>50</v>
      </c>
      <c r="G77" s="14" t="b">
        <v>0</v>
      </c>
      <c r="H77" s="14" t="s">
        <v>50</v>
      </c>
      <c r="I77" s="14" t="b">
        <v>0</v>
      </c>
      <c r="J77" s="13" t="b">
        <v>1</v>
      </c>
      <c r="K77" s="14" t="s">
        <v>50</v>
      </c>
    </row>
    <row r="78" spans="1:11" x14ac:dyDescent="0.3">
      <c r="A78" s="12" t="s">
        <v>12</v>
      </c>
      <c r="B78" s="13" t="b">
        <v>1</v>
      </c>
      <c r="C78" s="14" t="s">
        <v>50</v>
      </c>
      <c r="D78" s="14" t="b">
        <v>0</v>
      </c>
      <c r="E78" s="13" t="b">
        <v>1</v>
      </c>
      <c r="F78" s="14" t="b">
        <v>0</v>
      </c>
      <c r="G78" s="14" t="b">
        <v>0</v>
      </c>
      <c r="H78" s="14" t="b">
        <v>0</v>
      </c>
      <c r="I78" s="14" t="b">
        <v>0</v>
      </c>
      <c r="J78" s="14" t="s">
        <v>50</v>
      </c>
      <c r="K78" s="14" t="s">
        <v>50</v>
      </c>
    </row>
    <row r="79" spans="1:11" x14ac:dyDescent="0.3">
      <c r="A79" s="12" t="s">
        <v>13</v>
      </c>
      <c r="B79" s="17" t="b">
        <v>0</v>
      </c>
      <c r="C79" s="14" t="s">
        <v>50</v>
      </c>
      <c r="D79" s="14" t="b">
        <v>0</v>
      </c>
      <c r="E79" s="13" t="b">
        <v>1</v>
      </c>
      <c r="F79" s="14" t="b">
        <v>0</v>
      </c>
      <c r="G79" s="14" t="b">
        <v>0</v>
      </c>
      <c r="H79" s="14" t="b">
        <v>0</v>
      </c>
      <c r="I79" s="14" t="b">
        <v>0</v>
      </c>
      <c r="J79" s="13" t="b">
        <v>1</v>
      </c>
      <c r="K79" s="14" t="s">
        <v>50</v>
      </c>
    </row>
    <row r="80" spans="1:11" x14ac:dyDescent="0.3">
      <c r="A80" s="12" t="s">
        <v>14</v>
      </c>
      <c r="B80" s="14" t="s">
        <v>50</v>
      </c>
      <c r="C80" s="14" t="b">
        <v>0</v>
      </c>
      <c r="D80" s="13" t="b">
        <v>1</v>
      </c>
      <c r="E80" s="13" t="b">
        <v>1</v>
      </c>
      <c r="F80" s="14" t="b">
        <v>0</v>
      </c>
      <c r="G80" s="14" t="b">
        <v>0</v>
      </c>
      <c r="H80" s="14" t="s">
        <v>50</v>
      </c>
      <c r="I80" s="14" t="b">
        <v>0</v>
      </c>
      <c r="J80" s="13" t="b">
        <v>1</v>
      </c>
      <c r="K80" s="14" t="s">
        <v>50</v>
      </c>
    </row>
    <row r="81" spans="1:11" x14ac:dyDescent="0.3">
      <c r="A81" s="12" t="s">
        <v>15</v>
      </c>
      <c r="B81" s="17" t="b">
        <v>0</v>
      </c>
      <c r="C81" s="14" t="b">
        <v>0</v>
      </c>
      <c r="D81" s="14" t="b">
        <v>0</v>
      </c>
      <c r="E81" s="14" t="s">
        <v>50</v>
      </c>
      <c r="F81" s="14" t="b">
        <v>0</v>
      </c>
      <c r="G81" s="14" t="b">
        <v>0</v>
      </c>
      <c r="H81" s="14" t="b">
        <v>0</v>
      </c>
      <c r="I81" s="14" t="b">
        <v>0</v>
      </c>
      <c r="J81" s="14" t="s">
        <v>50</v>
      </c>
      <c r="K81" s="14" t="s">
        <v>50</v>
      </c>
    </row>
    <row r="82" spans="1:11" x14ac:dyDescent="0.3">
      <c r="A82" s="12" t="s">
        <v>16</v>
      </c>
      <c r="B82" s="17" t="b">
        <v>0</v>
      </c>
      <c r="C82" s="14" t="s">
        <v>50</v>
      </c>
      <c r="D82" s="13" t="b">
        <v>1</v>
      </c>
      <c r="E82" s="13" t="b">
        <v>1</v>
      </c>
      <c r="F82" s="14" t="b">
        <v>0</v>
      </c>
      <c r="G82" s="14" t="b">
        <v>0</v>
      </c>
      <c r="H82" s="14" t="s">
        <v>50</v>
      </c>
      <c r="I82" s="14" t="b">
        <v>0</v>
      </c>
      <c r="J82" s="13" t="b">
        <v>1</v>
      </c>
      <c r="K82" s="13" t="b">
        <v>1</v>
      </c>
    </row>
    <row r="83" spans="1:11" x14ac:dyDescent="0.3">
      <c r="A83" s="12" t="s">
        <v>51</v>
      </c>
      <c r="B83" s="12">
        <f t="shared" ref="B83:K83" si="5">SUMIFS($M$3:$M$14,B71:B82,"TRUE")</f>
        <v>200</v>
      </c>
      <c r="C83" s="12">
        <f t="shared" si="5"/>
        <v>0</v>
      </c>
      <c r="D83" s="12">
        <f t="shared" si="5"/>
        <v>2568</v>
      </c>
      <c r="E83" s="12">
        <f t="shared" si="5"/>
        <v>3039</v>
      </c>
      <c r="F83" s="12">
        <f t="shared" si="5"/>
        <v>0</v>
      </c>
      <c r="G83" s="12">
        <f t="shared" si="5"/>
        <v>0</v>
      </c>
      <c r="H83" s="12">
        <f t="shared" si="5"/>
        <v>0</v>
      </c>
      <c r="I83" s="12">
        <f t="shared" si="5"/>
        <v>0</v>
      </c>
      <c r="J83" s="12">
        <f t="shared" si="5"/>
        <v>2899</v>
      </c>
      <c r="K83" s="12">
        <f t="shared" si="5"/>
        <v>2056</v>
      </c>
    </row>
    <row r="85" spans="1:11" x14ac:dyDescent="0.3">
      <c r="A85" s="15" t="s">
        <v>57</v>
      </c>
      <c r="B85" s="9"/>
      <c r="C85" s="9"/>
      <c r="D85" s="9"/>
      <c r="E85" s="9"/>
      <c r="F85" s="9"/>
      <c r="G85" s="9"/>
      <c r="H85" s="9"/>
      <c r="I85" s="9"/>
      <c r="J85" s="9"/>
      <c r="K85" s="10"/>
    </row>
    <row r="86" spans="1:11" x14ac:dyDescent="0.3">
      <c r="A86" s="16" t="s">
        <v>53</v>
      </c>
      <c r="B86" s="12">
        <v>1</v>
      </c>
      <c r="C86" s="12">
        <v>2</v>
      </c>
      <c r="D86" s="12">
        <v>4</v>
      </c>
      <c r="E86" s="12">
        <v>8</v>
      </c>
      <c r="F86" s="12">
        <v>16</v>
      </c>
      <c r="G86" s="12">
        <v>32</v>
      </c>
      <c r="H86" s="12">
        <v>64</v>
      </c>
      <c r="I86" s="12">
        <v>128</v>
      </c>
      <c r="J86" s="12">
        <v>256</v>
      </c>
      <c r="K86" s="12">
        <v>1024</v>
      </c>
    </row>
    <row r="87" spans="1:11" x14ac:dyDescent="0.3">
      <c r="A87" s="12" t="s">
        <v>0</v>
      </c>
      <c r="B87" s="12" t="s">
        <v>18</v>
      </c>
      <c r="C87" s="12" t="s">
        <v>19</v>
      </c>
      <c r="D87" s="12" t="s">
        <v>20</v>
      </c>
      <c r="E87" s="12" t="s">
        <v>21</v>
      </c>
      <c r="F87" s="12" t="s">
        <v>22</v>
      </c>
      <c r="G87" s="12" t="s">
        <v>23</v>
      </c>
      <c r="H87" s="12" t="s">
        <v>24</v>
      </c>
      <c r="I87" s="12" t="s">
        <v>25</v>
      </c>
      <c r="J87" s="12" t="s">
        <v>26</v>
      </c>
      <c r="K87" s="12" t="s">
        <v>27</v>
      </c>
    </row>
    <row r="88" spans="1:11" x14ac:dyDescent="0.3">
      <c r="A88" s="12" t="s">
        <v>4</v>
      </c>
      <c r="B88" s="17" t="b">
        <v>0</v>
      </c>
      <c r="C88" s="14" t="b">
        <v>0</v>
      </c>
      <c r="D88" s="14" t="s">
        <v>50</v>
      </c>
      <c r="E88" s="14" t="b">
        <v>0</v>
      </c>
      <c r="F88" s="14" t="b">
        <v>0</v>
      </c>
      <c r="G88" s="14" t="b">
        <v>0</v>
      </c>
      <c r="H88" s="14" t="s">
        <v>50</v>
      </c>
      <c r="I88" s="14" t="b">
        <v>0</v>
      </c>
      <c r="J88" s="14" t="b">
        <v>0</v>
      </c>
      <c r="K88" s="14" t="s">
        <v>50</v>
      </c>
    </row>
    <row r="89" spans="1:11" x14ac:dyDescent="0.3">
      <c r="A89" s="12" t="s">
        <v>6</v>
      </c>
      <c r="B89" s="17" t="b">
        <v>0</v>
      </c>
      <c r="C89" s="14" t="s">
        <v>50</v>
      </c>
      <c r="D89" s="14" t="b">
        <v>0</v>
      </c>
      <c r="E89" s="14" t="b">
        <v>0</v>
      </c>
      <c r="F89" s="14" t="s">
        <v>50</v>
      </c>
      <c r="G89" s="14" t="b">
        <v>0</v>
      </c>
      <c r="H89" s="14" t="b">
        <v>0</v>
      </c>
      <c r="I89" s="14" t="s">
        <v>50</v>
      </c>
      <c r="J89" s="14" t="b">
        <v>0</v>
      </c>
      <c r="K89" s="14" t="s">
        <v>50</v>
      </c>
    </row>
    <row r="90" spans="1:11" x14ac:dyDescent="0.3">
      <c r="A90" s="12" t="s">
        <v>7</v>
      </c>
      <c r="B90" s="17" t="b">
        <v>0</v>
      </c>
      <c r="C90" s="14" t="b">
        <v>0</v>
      </c>
      <c r="D90" s="14" t="b">
        <v>0</v>
      </c>
      <c r="E90" s="14" t="b">
        <v>0</v>
      </c>
      <c r="F90" s="14" t="b">
        <v>0</v>
      </c>
      <c r="G90" s="14" t="b">
        <v>0</v>
      </c>
      <c r="H90" s="14" t="s">
        <v>50</v>
      </c>
      <c r="I90" s="14" t="s">
        <v>50</v>
      </c>
      <c r="J90" s="14" t="s">
        <v>50</v>
      </c>
      <c r="K90" s="14" t="s">
        <v>50</v>
      </c>
    </row>
    <row r="91" spans="1:11" x14ac:dyDescent="0.3">
      <c r="A91" s="12" t="s">
        <v>8</v>
      </c>
      <c r="B91" s="17" t="b">
        <v>0</v>
      </c>
      <c r="C91" s="14" t="s">
        <v>50</v>
      </c>
      <c r="D91" s="14" t="b">
        <v>0</v>
      </c>
      <c r="E91" s="14" t="b">
        <v>0</v>
      </c>
      <c r="F91" s="14" t="b">
        <v>0</v>
      </c>
      <c r="G91" s="14" t="b">
        <v>0</v>
      </c>
      <c r="H91" s="14" t="s">
        <v>50</v>
      </c>
      <c r="I91" s="14" t="s">
        <v>50</v>
      </c>
      <c r="J91" s="14" t="s">
        <v>50</v>
      </c>
      <c r="K91" s="14" t="b">
        <v>0</v>
      </c>
    </row>
    <row r="92" spans="1:11" x14ac:dyDescent="0.3">
      <c r="A92" s="12" t="s">
        <v>9</v>
      </c>
      <c r="B92" s="17" t="b">
        <v>0</v>
      </c>
      <c r="C92" s="14" t="s">
        <v>50</v>
      </c>
      <c r="D92" s="14" t="s">
        <v>50</v>
      </c>
      <c r="E92" s="14" t="b">
        <v>0</v>
      </c>
      <c r="F92" s="14" t="b">
        <v>0</v>
      </c>
      <c r="G92" s="14" t="b">
        <v>0</v>
      </c>
      <c r="H92" s="14" t="s">
        <v>50</v>
      </c>
      <c r="I92" s="14" t="b">
        <v>0</v>
      </c>
      <c r="J92" s="14" t="b">
        <v>0</v>
      </c>
      <c r="K92" s="14" t="s">
        <v>50</v>
      </c>
    </row>
    <row r="93" spans="1:11" x14ac:dyDescent="0.3">
      <c r="A93" s="12" t="s">
        <v>10</v>
      </c>
      <c r="B93" s="17" t="b">
        <v>0</v>
      </c>
      <c r="C93" s="14" t="s">
        <v>50</v>
      </c>
      <c r="D93" s="14" t="b">
        <v>0</v>
      </c>
      <c r="E93" s="14" t="s">
        <v>50</v>
      </c>
      <c r="F93" s="14" t="s">
        <v>50</v>
      </c>
      <c r="G93" s="14" t="b">
        <v>0</v>
      </c>
      <c r="H93" s="14" t="b">
        <v>0</v>
      </c>
      <c r="I93" s="14" t="s">
        <v>50</v>
      </c>
      <c r="J93" s="14" t="s">
        <v>50</v>
      </c>
      <c r="K93" s="14" t="b">
        <v>0</v>
      </c>
    </row>
    <row r="94" spans="1:11" x14ac:dyDescent="0.3">
      <c r="A94" s="12" t="s">
        <v>11</v>
      </c>
      <c r="B94" s="17" t="b">
        <v>0</v>
      </c>
      <c r="C94" s="14" t="s">
        <v>50</v>
      </c>
      <c r="D94" s="14" t="s">
        <v>50</v>
      </c>
      <c r="E94" s="14" t="b">
        <v>0</v>
      </c>
      <c r="F94" s="14" t="s">
        <v>50</v>
      </c>
      <c r="G94" s="14" t="b">
        <v>0</v>
      </c>
      <c r="H94" s="14" t="s">
        <v>50</v>
      </c>
      <c r="I94" s="14" t="b">
        <v>0</v>
      </c>
      <c r="J94" s="14" t="b">
        <v>0</v>
      </c>
      <c r="K94" s="14" t="s">
        <v>50</v>
      </c>
    </row>
    <row r="95" spans="1:11" x14ac:dyDescent="0.3">
      <c r="A95" s="12" t="s">
        <v>12</v>
      </c>
      <c r="B95" s="17" t="b">
        <v>0</v>
      </c>
      <c r="C95" s="14" t="s">
        <v>50</v>
      </c>
      <c r="D95" s="14" t="b">
        <v>0</v>
      </c>
      <c r="E95" s="14" t="b">
        <v>0</v>
      </c>
      <c r="F95" s="14" t="b">
        <v>0</v>
      </c>
      <c r="G95" s="14" t="b">
        <v>0</v>
      </c>
      <c r="H95" s="14" t="b">
        <v>0</v>
      </c>
      <c r="I95" s="14" t="b">
        <v>0</v>
      </c>
      <c r="J95" s="14" t="s">
        <v>50</v>
      </c>
      <c r="K95" s="14" t="s">
        <v>50</v>
      </c>
    </row>
    <row r="96" spans="1:11" x14ac:dyDescent="0.3">
      <c r="A96" s="12" t="s">
        <v>13</v>
      </c>
      <c r="B96" s="17" t="b">
        <v>0</v>
      </c>
      <c r="C96" s="14" t="s">
        <v>50</v>
      </c>
      <c r="D96" s="14" t="b">
        <v>0</v>
      </c>
      <c r="E96" s="14" t="b">
        <v>0</v>
      </c>
      <c r="F96" s="14" t="b">
        <v>0</v>
      </c>
      <c r="G96" s="14" t="b">
        <v>0</v>
      </c>
      <c r="H96" s="14" t="b">
        <v>0</v>
      </c>
      <c r="I96" s="14" t="b">
        <v>0</v>
      </c>
      <c r="J96" s="14" t="b">
        <v>0</v>
      </c>
      <c r="K96" s="14" t="s">
        <v>50</v>
      </c>
    </row>
    <row r="97" spans="1:11" x14ac:dyDescent="0.3">
      <c r="A97" s="12" t="s">
        <v>14</v>
      </c>
      <c r="B97" s="14" t="s">
        <v>50</v>
      </c>
      <c r="C97" s="14" t="b">
        <v>0</v>
      </c>
      <c r="D97" s="14" t="b">
        <v>0</v>
      </c>
      <c r="E97" s="14" t="b">
        <v>0</v>
      </c>
      <c r="F97" s="14" t="b">
        <v>0</v>
      </c>
      <c r="G97" s="14" t="b">
        <v>0</v>
      </c>
      <c r="H97" s="14" t="s">
        <v>50</v>
      </c>
      <c r="I97" s="14" t="b">
        <v>0</v>
      </c>
      <c r="J97" s="14" t="b">
        <v>0</v>
      </c>
      <c r="K97" s="14" t="s">
        <v>50</v>
      </c>
    </row>
    <row r="98" spans="1:11" x14ac:dyDescent="0.3">
      <c r="A98" s="12" t="s">
        <v>15</v>
      </c>
      <c r="B98" s="17" t="b">
        <v>0</v>
      </c>
      <c r="C98" s="14" t="b">
        <v>0</v>
      </c>
      <c r="D98" s="14" t="b">
        <v>0</v>
      </c>
      <c r="E98" s="14" t="s">
        <v>50</v>
      </c>
      <c r="F98" s="14" t="b">
        <v>0</v>
      </c>
      <c r="G98" s="14" t="b">
        <v>0</v>
      </c>
      <c r="H98" s="14" t="b">
        <v>0</v>
      </c>
      <c r="I98" s="14" t="b">
        <v>0</v>
      </c>
      <c r="J98" s="14" t="s">
        <v>50</v>
      </c>
      <c r="K98" s="14" t="s">
        <v>50</v>
      </c>
    </row>
    <row r="99" spans="1:11" x14ac:dyDescent="0.3">
      <c r="A99" s="12" t="s">
        <v>16</v>
      </c>
      <c r="B99" s="17" t="b">
        <v>0</v>
      </c>
      <c r="C99" s="14" t="s">
        <v>50</v>
      </c>
      <c r="D99" s="14" t="b">
        <v>0</v>
      </c>
      <c r="E99" s="14" t="b">
        <v>0</v>
      </c>
      <c r="F99" s="14" t="b">
        <v>0</v>
      </c>
      <c r="G99" s="14" t="b">
        <v>0</v>
      </c>
      <c r="H99" s="14" t="s">
        <v>50</v>
      </c>
      <c r="I99" s="14" t="b">
        <v>0</v>
      </c>
      <c r="J99" s="14" t="b">
        <v>0</v>
      </c>
      <c r="K99" s="14" t="b">
        <v>0</v>
      </c>
    </row>
    <row r="100" spans="1:11" x14ac:dyDescent="0.3">
      <c r="A100" s="12" t="s">
        <v>51</v>
      </c>
      <c r="B100" s="12">
        <f t="shared" ref="B100:K100" si="6">SUMIFS($M$3:$M$14,B88:B99,"TRUE")</f>
        <v>0</v>
      </c>
      <c r="C100" s="12">
        <f t="shared" si="6"/>
        <v>0</v>
      </c>
      <c r="D100" s="12">
        <f t="shared" si="6"/>
        <v>0</v>
      </c>
      <c r="E100" s="12">
        <f t="shared" si="6"/>
        <v>0</v>
      </c>
      <c r="F100" s="12">
        <f t="shared" si="6"/>
        <v>0</v>
      </c>
      <c r="G100" s="12">
        <f t="shared" si="6"/>
        <v>0</v>
      </c>
      <c r="H100" s="12">
        <f t="shared" si="6"/>
        <v>0</v>
      </c>
      <c r="I100" s="12">
        <f t="shared" si="6"/>
        <v>0</v>
      </c>
      <c r="J100" s="12">
        <f t="shared" si="6"/>
        <v>0</v>
      </c>
      <c r="K100" s="12">
        <f t="shared" si="6"/>
        <v>0</v>
      </c>
    </row>
    <row r="102" spans="1:11" x14ac:dyDescent="0.3">
      <c r="A102" s="15" t="s">
        <v>58</v>
      </c>
      <c r="B102" s="9"/>
      <c r="C102" s="9"/>
      <c r="D102" s="9"/>
      <c r="E102" s="9"/>
      <c r="F102" s="9"/>
      <c r="G102" s="9"/>
      <c r="H102" s="9"/>
      <c r="I102" s="9"/>
      <c r="J102" s="9"/>
      <c r="K102" s="10"/>
    </row>
    <row r="103" spans="1:11" x14ac:dyDescent="0.3">
      <c r="A103" s="16" t="s">
        <v>53</v>
      </c>
      <c r="B103" s="12">
        <v>1</v>
      </c>
      <c r="C103" s="12">
        <v>2</v>
      </c>
      <c r="D103" s="12">
        <v>4</v>
      </c>
      <c r="E103" s="12">
        <v>8</v>
      </c>
      <c r="F103" s="12">
        <v>16</v>
      </c>
      <c r="G103" s="12">
        <v>32</v>
      </c>
      <c r="H103" s="12">
        <v>64</v>
      </c>
      <c r="I103" s="12">
        <v>128</v>
      </c>
      <c r="J103" s="12">
        <v>256</v>
      </c>
      <c r="K103" s="12">
        <v>1024</v>
      </c>
    </row>
    <row r="104" spans="1:11" x14ac:dyDescent="0.3">
      <c r="A104" s="12" t="s">
        <v>0</v>
      </c>
      <c r="B104" s="12" t="s">
        <v>18</v>
      </c>
      <c r="C104" s="12" t="s">
        <v>19</v>
      </c>
      <c r="D104" s="12" t="s">
        <v>20</v>
      </c>
      <c r="E104" s="12" t="s">
        <v>21</v>
      </c>
      <c r="F104" s="12" t="s">
        <v>22</v>
      </c>
      <c r="G104" s="12" t="s">
        <v>23</v>
      </c>
      <c r="H104" s="12" t="s">
        <v>24</v>
      </c>
      <c r="I104" s="12" t="s">
        <v>25</v>
      </c>
      <c r="J104" s="12" t="s">
        <v>26</v>
      </c>
      <c r="K104" s="12" t="s">
        <v>27</v>
      </c>
    </row>
    <row r="105" spans="1:11" x14ac:dyDescent="0.3">
      <c r="A105" s="12" t="s">
        <v>4</v>
      </c>
      <c r="B105" s="17" t="b">
        <v>0</v>
      </c>
      <c r="C105" s="14" t="b">
        <v>0</v>
      </c>
      <c r="D105" s="14" t="s">
        <v>50</v>
      </c>
      <c r="E105" s="14" t="b">
        <v>0</v>
      </c>
      <c r="F105" s="14" t="b">
        <v>0</v>
      </c>
      <c r="G105" s="14" t="b">
        <v>0</v>
      </c>
      <c r="H105" s="14" t="s">
        <v>50</v>
      </c>
      <c r="I105" s="14" t="b">
        <v>0</v>
      </c>
      <c r="J105" s="14" t="b">
        <v>0</v>
      </c>
      <c r="K105" s="14" t="s">
        <v>50</v>
      </c>
    </row>
    <row r="106" spans="1:11" x14ac:dyDescent="0.3">
      <c r="A106" s="12" t="s">
        <v>6</v>
      </c>
      <c r="B106" s="17" t="b">
        <v>0</v>
      </c>
      <c r="C106" s="14" t="s">
        <v>50</v>
      </c>
      <c r="D106" s="14" t="b">
        <v>0</v>
      </c>
      <c r="E106" s="14" t="b">
        <v>0</v>
      </c>
      <c r="F106" s="14" t="s">
        <v>50</v>
      </c>
      <c r="G106" s="14" t="b">
        <v>0</v>
      </c>
      <c r="H106" s="14" t="b">
        <v>0</v>
      </c>
      <c r="I106" s="14" t="s">
        <v>50</v>
      </c>
      <c r="J106" s="14" t="b">
        <v>0</v>
      </c>
      <c r="K106" s="14" t="s">
        <v>50</v>
      </c>
    </row>
    <row r="107" spans="1:11" x14ac:dyDescent="0.3">
      <c r="A107" s="12" t="s">
        <v>7</v>
      </c>
      <c r="B107" s="13" t="b">
        <v>1</v>
      </c>
      <c r="C107" s="14" t="b">
        <v>0</v>
      </c>
      <c r="D107" s="13" t="b">
        <v>1</v>
      </c>
      <c r="E107" s="14" t="b">
        <v>0</v>
      </c>
      <c r="F107" s="14" t="b">
        <v>0</v>
      </c>
      <c r="G107" s="14" t="b">
        <v>0</v>
      </c>
      <c r="H107" s="14" t="s">
        <v>50</v>
      </c>
      <c r="I107" s="14" t="s">
        <v>50</v>
      </c>
      <c r="J107" s="14" t="s">
        <v>50</v>
      </c>
      <c r="K107" s="14" t="s">
        <v>50</v>
      </c>
    </row>
    <row r="108" spans="1:11" x14ac:dyDescent="0.3">
      <c r="A108" s="12" t="s">
        <v>8</v>
      </c>
      <c r="B108" s="17" t="b">
        <v>0</v>
      </c>
      <c r="C108" s="14" t="s">
        <v>50</v>
      </c>
      <c r="D108" s="14" t="b">
        <v>0</v>
      </c>
      <c r="E108" s="14" t="b">
        <v>0</v>
      </c>
      <c r="F108" s="14" t="b">
        <v>0</v>
      </c>
      <c r="G108" s="14" t="b">
        <v>0</v>
      </c>
      <c r="H108" s="14" t="s">
        <v>50</v>
      </c>
      <c r="I108" s="14" t="s">
        <v>50</v>
      </c>
      <c r="J108" s="14" t="s">
        <v>50</v>
      </c>
      <c r="K108" s="14" t="b">
        <v>0</v>
      </c>
    </row>
    <row r="109" spans="1:11" x14ac:dyDescent="0.3">
      <c r="A109" s="12" t="s">
        <v>9</v>
      </c>
      <c r="B109" s="17" t="b">
        <v>0</v>
      </c>
      <c r="C109" s="14" t="s">
        <v>50</v>
      </c>
      <c r="D109" s="14" t="s">
        <v>50</v>
      </c>
      <c r="E109" s="14" t="b">
        <v>0</v>
      </c>
      <c r="F109" s="14" t="b">
        <v>0</v>
      </c>
      <c r="G109" s="14" t="b">
        <v>0</v>
      </c>
      <c r="H109" s="14" t="s">
        <v>50</v>
      </c>
      <c r="I109" s="14" t="b">
        <v>0</v>
      </c>
      <c r="J109" s="14" t="b">
        <v>0</v>
      </c>
      <c r="K109" s="14" t="s">
        <v>50</v>
      </c>
    </row>
    <row r="110" spans="1:11" x14ac:dyDescent="0.3">
      <c r="A110" s="12" t="s">
        <v>10</v>
      </c>
      <c r="B110" s="13" t="b">
        <v>1</v>
      </c>
      <c r="C110" s="14" t="s">
        <v>50</v>
      </c>
      <c r="D110" s="13" t="b">
        <v>1</v>
      </c>
      <c r="E110" s="14" t="s">
        <v>50</v>
      </c>
      <c r="F110" s="14" t="s">
        <v>50</v>
      </c>
      <c r="G110" s="14" t="b">
        <v>0</v>
      </c>
      <c r="H110" s="14" t="b">
        <v>0</v>
      </c>
      <c r="I110" s="14" t="s">
        <v>50</v>
      </c>
      <c r="J110" s="14" t="s">
        <v>50</v>
      </c>
      <c r="K110" s="14" t="b">
        <v>0</v>
      </c>
    </row>
    <row r="111" spans="1:11" x14ac:dyDescent="0.3">
      <c r="A111" s="12" t="s">
        <v>11</v>
      </c>
      <c r="B111" s="13" t="b">
        <v>1</v>
      </c>
      <c r="C111" s="14" t="s">
        <v>50</v>
      </c>
      <c r="D111" s="14" t="s">
        <v>50</v>
      </c>
      <c r="E111" s="14" t="b">
        <v>0</v>
      </c>
      <c r="F111" s="14" t="s">
        <v>50</v>
      </c>
      <c r="G111" s="14" t="b">
        <v>0</v>
      </c>
      <c r="H111" s="14" t="s">
        <v>50</v>
      </c>
      <c r="I111" s="14" t="b">
        <v>0</v>
      </c>
      <c r="J111" s="14" t="b">
        <v>0</v>
      </c>
      <c r="K111" s="14" t="s">
        <v>50</v>
      </c>
    </row>
    <row r="112" spans="1:11" x14ac:dyDescent="0.3">
      <c r="A112" s="12" t="s">
        <v>12</v>
      </c>
      <c r="B112" s="17" t="b">
        <v>0</v>
      </c>
      <c r="C112" s="14" t="s">
        <v>50</v>
      </c>
      <c r="D112" s="14" t="b">
        <v>0</v>
      </c>
      <c r="E112" s="14" t="b">
        <v>0</v>
      </c>
      <c r="F112" s="14" t="b">
        <v>0</v>
      </c>
      <c r="G112" s="14" t="b">
        <v>0</v>
      </c>
      <c r="H112" s="14" t="b">
        <v>0</v>
      </c>
      <c r="I112" s="14" t="b">
        <v>0</v>
      </c>
      <c r="J112" s="14" t="s">
        <v>50</v>
      </c>
      <c r="K112" s="14" t="s">
        <v>50</v>
      </c>
    </row>
    <row r="113" spans="1:11" x14ac:dyDescent="0.3">
      <c r="A113" s="12" t="s">
        <v>13</v>
      </c>
      <c r="B113" s="13" t="b">
        <v>1</v>
      </c>
      <c r="C113" s="14" t="s">
        <v>50</v>
      </c>
      <c r="D113" s="13" t="b">
        <v>1</v>
      </c>
      <c r="E113" s="14" t="b">
        <v>0</v>
      </c>
      <c r="F113" s="14" t="b">
        <v>0</v>
      </c>
      <c r="G113" s="14" t="b">
        <v>0</v>
      </c>
      <c r="H113" s="14" t="b">
        <v>0</v>
      </c>
      <c r="I113" s="14" t="b">
        <v>0</v>
      </c>
      <c r="J113" s="14" t="b">
        <v>0</v>
      </c>
      <c r="K113" s="14" t="s">
        <v>50</v>
      </c>
    </row>
    <row r="114" spans="1:11" x14ac:dyDescent="0.3">
      <c r="A114" s="12" t="s">
        <v>14</v>
      </c>
      <c r="B114" s="14" t="s">
        <v>50</v>
      </c>
      <c r="C114" s="14" t="b">
        <v>0</v>
      </c>
      <c r="D114" s="14" t="b">
        <v>0</v>
      </c>
      <c r="E114" s="14" t="b">
        <v>0</v>
      </c>
      <c r="F114" s="14" t="b">
        <v>0</v>
      </c>
      <c r="G114" s="14" t="b">
        <v>0</v>
      </c>
      <c r="H114" s="14" t="s">
        <v>50</v>
      </c>
      <c r="I114" s="14" t="b">
        <v>0</v>
      </c>
      <c r="J114" s="14" t="b">
        <v>0</v>
      </c>
      <c r="K114" s="14" t="s">
        <v>50</v>
      </c>
    </row>
    <row r="115" spans="1:11" x14ac:dyDescent="0.3">
      <c r="A115" s="12" t="s">
        <v>15</v>
      </c>
      <c r="B115" s="17" t="b">
        <v>0</v>
      </c>
      <c r="C115" s="14" t="b">
        <v>0</v>
      </c>
      <c r="D115" s="14" t="b">
        <v>0</v>
      </c>
      <c r="E115" s="14" t="s">
        <v>50</v>
      </c>
      <c r="F115" s="14" t="b">
        <v>0</v>
      </c>
      <c r="G115" s="14" t="b">
        <v>0</v>
      </c>
      <c r="H115" s="14" t="b">
        <v>0</v>
      </c>
      <c r="I115" s="14" t="b">
        <v>0</v>
      </c>
      <c r="J115" s="14" t="s">
        <v>50</v>
      </c>
      <c r="K115" s="14" t="s">
        <v>50</v>
      </c>
    </row>
    <row r="116" spans="1:11" x14ac:dyDescent="0.3">
      <c r="A116" s="12" t="s">
        <v>16</v>
      </c>
      <c r="B116" s="13" t="b">
        <v>1</v>
      </c>
      <c r="C116" s="14" t="s">
        <v>50</v>
      </c>
      <c r="D116" s="13" t="b">
        <v>1</v>
      </c>
      <c r="E116" s="14" t="b">
        <v>0</v>
      </c>
      <c r="F116" s="14" t="b">
        <v>0</v>
      </c>
      <c r="G116" s="14" t="b">
        <v>0</v>
      </c>
      <c r="H116" s="14" t="s">
        <v>50</v>
      </c>
      <c r="I116" s="14" t="b">
        <v>0</v>
      </c>
      <c r="J116" s="14" t="b">
        <v>0</v>
      </c>
      <c r="K116" s="14" t="b">
        <v>0</v>
      </c>
    </row>
    <row r="117" spans="1:11" x14ac:dyDescent="0.3">
      <c r="A117" s="12" t="s">
        <v>51</v>
      </c>
      <c r="B117" s="12">
        <f t="shared" ref="B117:K117" si="7">SUMIFS($M$3:$M$14,B105:B116,"TRUE")</f>
        <v>2404</v>
      </c>
      <c r="C117" s="12">
        <f t="shared" si="7"/>
        <v>0</v>
      </c>
      <c r="D117" s="12">
        <f t="shared" si="7"/>
        <v>2340</v>
      </c>
      <c r="E117" s="12">
        <f t="shared" si="7"/>
        <v>0</v>
      </c>
      <c r="F117" s="12">
        <f t="shared" si="7"/>
        <v>0</v>
      </c>
      <c r="G117" s="12">
        <f t="shared" si="7"/>
        <v>0</v>
      </c>
      <c r="H117" s="12">
        <f t="shared" si="7"/>
        <v>0</v>
      </c>
      <c r="I117" s="12">
        <f t="shared" si="7"/>
        <v>0</v>
      </c>
      <c r="J117" s="12">
        <f t="shared" si="7"/>
        <v>0</v>
      </c>
      <c r="K117" s="12">
        <f t="shared" si="7"/>
        <v>0</v>
      </c>
    </row>
    <row r="119" spans="1:11" x14ac:dyDescent="0.3">
      <c r="A119" s="15" t="s">
        <v>59</v>
      </c>
      <c r="B119" s="9"/>
      <c r="C119" s="9"/>
      <c r="D119" s="9"/>
      <c r="E119" s="9"/>
      <c r="F119" s="9"/>
      <c r="G119" s="9"/>
      <c r="H119" s="9"/>
      <c r="I119" s="9"/>
      <c r="J119" s="9"/>
      <c r="K119" s="10"/>
    </row>
    <row r="120" spans="1:11" x14ac:dyDescent="0.3">
      <c r="A120" s="16" t="s">
        <v>53</v>
      </c>
      <c r="B120" s="12">
        <v>1</v>
      </c>
      <c r="C120" s="12">
        <v>2</v>
      </c>
      <c r="D120" s="12">
        <v>4</v>
      </c>
      <c r="E120" s="12">
        <v>8</v>
      </c>
      <c r="F120" s="12">
        <v>16</v>
      </c>
      <c r="G120" s="12">
        <v>32</v>
      </c>
      <c r="H120" s="12">
        <v>64</v>
      </c>
      <c r="I120" s="12">
        <v>128</v>
      </c>
      <c r="J120" s="12">
        <v>256</v>
      </c>
      <c r="K120" s="12">
        <v>1024</v>
      </c>
    </row>
    <row r="121" spans="1:11" x14ac:dyDescent="0.3">
      <c r="A121" s="12" t="s">
        <v>0</v>
      </c>
      <c r="B121" s="12" t="s">
        <v>18</v>
      </c>
      <c r="C121" s="12" t="s">
        <v>19</v>
      </c>
      <c r="D121" s="12" t="s">
        <v>20</v>
      </c>
      <c r="E121" s="12" t="s">
        <v>21</v>
      </c>
      <c r="F121" s="12" t="s">
        <v>22</v>
      </c>
      <c r="G121" s="12" t="s">
        <v>23</v>
      </c>
      <c r="H121" s="12" t="s">
        <v>24</v>
      </c>
      <c r="I121" s="12" t="s">
        <v>25</v>
      </c>
      <c r="J121" s="12" t="s">
        <v>26</v>
      </c>
      <c r="K121" s="12" t="s">
        <v>27</v>
      </c>
    </row>
    <row r="122" spans="1:11" x14ac:dyDescent="0.3">
      <c r="A122" s="12" t="s">
        <v>4</v>
      </c>
      <c r="B122" s="13" t="b">
        <v>1</v>
      </c>
      <c r="C122" s="13" t="b">
        <v>1</v>
      </c>
      <c r="D122" s="14" t="s">
        <v>50</v>
      </c>
      <c r="E122" s="14" t="b">
        <v>0</v>
      </c>
      <c r="F122" s="13" t="b">
        <v>1</v>
      </c>
      <c r="G122" s="14" t="b">
        <v>0</v>
      </c>
      <c r="H122" s="14" t="s">
        <v>50</v>
      </c>
      <c r="I122" s="14" t="b">
        <v>0</v>
      </c>
      <c r="J122" s="14" t="b">
        <v>0</v>
      </c>
      <c r="K122" s="14" t="s">
        <v>50</v>
      </c>
    </row>
    <row r="123" spans="1:11" x14ac:dyDescent="0.3">
      <c r="A123" s="12" t="s">
        <v>6</v>
      </c>
      <c r="B123" s="17" t="b">
        <v>0</v>
      </c>
      <c r="C123" s="14" t="s">
        <v>50</v>
      </c>
      <c r="D123" s="14" t="b">
        <v>0</v>
      </c>
      <c r="E123" s="14" t="b">
        <v>0</v>
      </c>
      <c r="F123" s="14" t="s">
        <v>50</v>
      </c>
      <c r="G123" s="14" t="b">
        <v>0</v>
      </c>
      <c r="H123" s="13" t="b">
        <v>1</v>
      </c>
      <c r="I123" s="14" t="s">
        <v>50</v>
      </c>
      <c r="J123" s="14" t="b">
        <v>0</v>
      </c>
      <c r="K123" s="14" t="s">
        <v>50</v>
      </c>
    </row>
    <row r="124" spans="1:11" x14ac:dyDescent="0.3">
      <c r="A124" s="12" t="s">
        <v>7</v>
      </c>
      <c r="B124" s="13" t="b">
        <v>1</v>
      </c>
      <c r="C124" s="13" t="b">
        <v>1</v>
      </c>
      <c r="D124" s="14" t="b">
        <v>0</v>
      </c>
      <c r="E124" s="14" t="b">
        <v>0</v>
      </c>
      <c r="F124" s="13" t="b">
        <v>1</v>
      </c>
      <c r="G124" s="14" t="b">
        <v>0</v>
      </c>
      <c r="H124" s="14" t="s">
        <v>50</v>
      </c>
      <c r="I124" s="14" t="s">
        <v>50</v>
      </c>
      <c r="J124" s="14" t="s">
        <v>50</v>
      </c>
      <c r="K124" s="14" t="s">
        <v>50</v>
      </c>
    </row>
    <row r="125" spans="1:11" x14ac:dyDescent="0.3">
      <c r="A125" s="12" t="s">
        <v>8</v>
      </c>
      <c r="B125" s="13" t="b">
        <v>1</v>
      </c>
      <c r="C125" s="14" t="s">
        <v>50</v>
      </c>
      <c r="D125" s="14" t="b">
        <v>0</v>
      </c>
      <c r="E125" s="14" t="b">
        <v>0</v>
      </c>
      <c r="F125" s="13" t="b">
        <v>1</v>
      </c>
      <c r="G125" s="14" t="b">
        <v>0</v>
      </c>
      <c r="H125" s="14" t="s">
        <v>50</v>
      </c>
      <c r="I125" s="14" t="s">
        <v>50</v>
      </c>
      <c r="J125" s="14" t="s">
        <v>50</v>
      </c>
      <c r="K125" s="14" t="b">
        <v>0</v>
      </c>
    </row>
    <row r="126" spans="1:11" x14ac:dyDescent="0.3">
      <c r="A126" s="12" t="s">
        <v>9</v>
      </c>
      <c r="B126" s="17" t="b">
        <v>0</v>
      </c>
      <c r="C126" s="14" t="s">
        <v>50</v>
      </c>
      <c r="D126" s="14" t="s">
        <v>50</v>
      </c>
      <c r="E126" s="14" t="b">
        <v>0</v>
      </c>
      <c r="F126" s="13" t="b">
        <v>1</v>
      </c>
      <c r="G126" s="14" t="b">
        <v>0</v>
      </c>
      <c r="H126" s="14" t="s">
        <v>50</v>
      </c>
      <c r="I126" s="14" t="b">
        <v>0</v>
      </c>
      <c r="J126" s="14" t="b">
        <v>0</v>
      </c>
      <c r="K126" s="14" t="s">
        <v>50</v>
      </c>
    </row>
    <row r="127" spans="1:11" x14ac:dyDescent="0.3">
      <c r="A127" s="12" t="s">
        <v>10</v>
      </c>
      <c r="B127" s="13" t="b">
        <v>1</v>
      </c>
      <c r="C127" s="14" t="s">
        <v>50</v>
      </c>
      <c r="D127" s="14" t="b">
        <v>0</v>
      </c>
      <c r="E127" s="14" t="s">
        <v>50</v>
      </c>
      <c r="F127" s="14" t="s">
        <v>50</v>
      </c>
      <c r="G127" s="14" t="b">
        <v>0</v>
      </c>
      <c r="H127" s="13" t="b">
        <v>1</v>
      </c>
      <c r="I127" s="14" t="s">
        <v>50</v>
      </c>
      <c r="J127" s="14" t="s">
        <v>50</v>
      </c>
      <c r="K127" s="13" t="b">
        <v>1</v>
      </c>
    </row>
    <row r="128" spans="1:11" x14ac:dyDescent="0.3">
      <c r="A128" s="12" t="s">
        <v>11</v>
      </c>
      <c r="B128" s="13" t="b">
        <v>1</v>
      </c>
      <c r="C128" s="14" t="s">
        <v>50</v>
      </c>
      <c r="D128" s="14" t="s">
        <v>50</v>
      </c>
      <c r="E128" s="14" t="b">
        <v>0</v>
      </c>
      <c r="F128" s="14" t="s">
        <v>50</v>
      </c>
      <c r="G128" s="14" t="b">
        <v>0</v>
      </c>
      <c r="H128" s="14" t="s">
        <v>50</v>
      </c>
      <c r="I128" s="14" t="b">
        <v>0</v>
      </c>
      <c r="J128" s="14" t="b">
        <v>0</v>
      </c>
      <c r="K128" s="14" t="s">
        <v>50</v>
      </c>
    </row>
    <row r="129" spans="1:11" x14ac:dyDescent="0.3">
      <c r="A129" s="12" t="s">
        <v>12</v>
      </c>
      <c r="B129" s="17" t="b">
        <v>0</v>
      </c>
      <c r="C129" s="14" t="s">
        <v>50</v>
      </c>
      <c r="D129" s="14" t="b">
        <v>0</v>
      </c>
      <c r="E129" s="14" t="b">
        <v>0</v>
      </c>
      <c r="F129" s="13" t="b">
        <v>1</v>
      </c>
      <c r="G129" s="14" t="b">
        <v>0</v>
      </c>
      <c r="H129" s="13" t="b">
        <v>1</v>
      </c>
      <c r="I129" s="14" t="b">
        <v>0</v>
      </c>
      <c r="J129" s="14" t="s">
        <v>50</v>
      </c>
      <c r="K129" s="14" t="s">
        <v>50</v>
      </c>
    </row>
    <row r="130" spans="1:11" x14ac:dyDescent="0.3">
      <c r="A130" s="12" t="s">
        <v>13</v>
      </c>
      <c r="B130" s="13" t="b">
        <v>1</v>
      </c>
      <c r="C130" s="14" t="s">
        <v>50</v>
      </c>
      <c r="D130" s="14" t="b">
        <v>0</v>
      </c>
      <c r="E130" s="14" t="b">
        <v>0</v>
      </c>
      <c r="F130" s="13" t="b">
        <v>1</v>
      </c>
      <c r="G130" s="14" t="b">
        <v>0</v>
      </c>
      <c r="H130" s="13" t="b">
        <v>1</v>
      </c>
      <c r="I130" s="14" t="b">
        <v>0</v>
      </c>
      <c r="J130" s="14" t="b">
        <v>0</v>
      </c>
      <c r="K130" s="14" t="s">
        <v>50</v>
      </c>
    </row>
    <row r="131" spans="1:11" x14ac:dyDescent="0.3">
      <c r="A131" s="12" t="s">
        <v>14</v>
      </c>
      <c r="B131" s="14" t="s">
        <v>50</v>
      </c>
      <c r="C131" s="13" t="b">
        <v>1</v>
      </c>
      <c r="D131" s="14" t="b">
        <v>0</v>
      </c>
      <c r="E131" s="14" t="b">
        <v>0</v>
      </c>
      <c r="F131" s="13" t="b">
        <v>1</v>
      </c>
      <c r="G131" s="14" t="b">
        <v>0</v>
      </c>
      <c r="H131" s="14" t="s">
        <v>50</v>
      </c>
      <c r="I131" s="14" t="b">
        <v>0</v>
      </c>
      <c r="J131" s="14" t="b">
        <v>0</v>
      </c>
      <c r="K131" s="14" t="s">
        <v>50</v>
      </c>
    </row>
    <row r="132" spans="1:11" x14ac:dyDescent="0.3">
      <c r="A132" s="12" t="s">
        <v>15</v>
      </c>
      <c r="B132" s="13" t="b">
        <v>1</v>
      </c>
      <c r="C132" s="13" t="b">
        <v>1</v>
      </c>
      <c r="D132" s="14" t="b">
        <v>0</v>
      </c>
      <c r="E132" s="14" t="s">
        <v>50</v>
      </c>
      <c r="F132" s="13" t="b">
        <v>1</v>
      </c>
      <c r="G132" s="14" t="b">
        <v>0</v>
      </c>
      <c r="H132" s="13" t="b">
        <v>1</v>
      </c>
      <c r="I132" s="14" t="b">
        <v>0</v>
      </c>
      <c r="J132" s="14" t="s">
        <v>50</v>
      </c>
      <c r="K132" s="14" t="s">
        <v>50</v>
      </c>
    </row>
    <row r="133" spans="1:11" x14ac:dyDescent="0.3">
      <c r="A133" s="12" t="s">
        <v>16</v>
      </c>
      <c r="B133" s="13" t="b">
        <v>1</v>
      </c>
      <c r="C133" s="14" t="s">
        <v>50</v>
      </c>
      <c r="D133" s="14" t="b">
        <v>0</v>
      </c>
      <c r="E133" s="14" t="b">
        <v>0</v>
      </c>
      <c r="F133" s="13" t="b">
        <v>1</v>
      </c>
      <c r="G133" s="14" t="b">
        <v>0</v>
      </c>
      <c r="H133" s="14" t="s">
        <v>50</v>
      </c>
      <c r="I133" s="14" t="b">
        <v>0</v>
      </c>
      <c r="J133" s="14" t="b">
        <v>0</v>
      </c>
      <c r="K133" s="14" t="b">
        <v>0</v>
      </c>
    </row>
    <row r="134" spans="1:11" x14ac:dyDescent="0.3">
      <c r="A134" s="12" t="s">
        <v>51</v>
      </c>
      <c r="B134" s="12">
        <f t="shared" ref="B134:K134" si="8">SUMIFS($M$3:$M$14,B122:B133,"TRUE")</f>
        <v>3437</v>
      </c>
      <c r="C134" s="12">
        <f t="shared" si="8"/>
        <v>1541</v>
      </c>
      <c r="D134" s="12">
        <f t="shared" si="8"/>
        <v>0</v>
      </c>
      <c r="E134" s="12">
        <f t="shared" si="8"/>
        <v>0</v>
      </c>
      <c r="F134" s="12">
        <f t="shared" si="8"/>
        <v>3997</v>
      </c>
      <c r="G134" s="12">
        <f t="shared" si="8"/>
        <v>0</v>
      </c>
      <c r="H134" s="12">
        <f t="shared" si="8"/>
        <v>1442</v>
      </c>
      <c r="I134" s="12">
        <f t="shared" si="8"/>
        <v>0</v>
      </c>
      <c r="J134" s="12">
        <f t="shared" si="8"/>
        <v>0</v>
      </c>
      <c r="K134" s="12">
        <f t="shared" si="8"/>
        <v>32</v>
      </c>
    </row>
    <row r="136" spans="1:11" x14ac:dyDescent="0.3">
      <c r="A136" s="15" t="s">
        <v>60</v>
      </c>
      <c r="B136" s="9"/>
      <c r="C136" s="9"/>
      <c r="D136" s="9"/>
      <c r="E136" s="9"/>
      <c r="F136" s="9"/>
      <c r="G136" s="9"/>
      <c r="H136" s="9"/>
      <c r="I136" s="9"/>
      <c r="J136" s="9"/>
      <c r="K136" s="10"/>
    </row>
    <row r="137" spans="1:11" x14ac:dyDescent="0.3">
      <c r="A137" s="16" t="s">
        <v>53</v>
      </c>
      <c r="B137" s="12">
        <v>1</v>
      </c>
      <c r="C137" s="12">
        <v>2</v>
      </c>
      <c r="D137" s="12">
        <v>4</v>
      </c>
      <c r="E137" s="12">
        <v>8</v>
      </c>
      <c r="F137" s="12">
        <v>16</v>
      </c>
      <c r="G137" s="12">
        <v>32</v>
      </c>
      <c r="H137" s="12">
        <v>64</v>
      </c>
      <c r="I137" s="12">
        <v>128</v>
      </c>
      <c r="J137" s="12">
        <v>256</v>
      </c>
      <c r="K137" s="12">
        <v>1024</v>
      </c>
    </row>
    <row r="138" spans="1:11" x14ac:dyDescent="0.3">
      <c r="A138" s="12" t="s">
        <v>0</v>
      </c>
      <c r="B138" s="12" t="s">
        <v>18</v>
      </c>
      <c r="C138" s="12" t="s">
        <v>19</v>
      </c>
      <c r="D138" s="12" t="s">
        <v>20</v>
      </c>
      <c r="E138" s="12" t="s">
        <v>21</v>
      </c>
      <c r="F138" s="12" t="s">
        <v>22</v>
      </c>
      <c r="G138" s="12" t="s">
        <v>23</v>
      </c>
      <c r="H138" s="12" t="s">
        <v>24</v>
      </c>
      <c r="I138" s="12" t="s">
        <v>25</v>
      </c>
      <c r="J138" s="12" t="s">
        <v>26</v>
      </c>
      <c r="K138" s="12" t="s">
        <v>27</v>
      </c>
    </row>
    <row r="139" spans="1:11" x14ac:dyDescent="0.3">
      <c r="A139" s="12" t="s">
        <v>4</v>
      </c>
      <c r="B139" s="17" t="b">
        <v>0</v>
      </c>
      <c r="C139" s="14" t="b">
        <v>0</v>
      </c>
      <c r="D139" s="14" t="s">
        <v>50</v>
      </c>
      <c r="E139" s="14" t="b">
        <v>0</v>
      </c>
      <c r="F139" s="14" t="b">
        <v>0</v>
      </c>
      <c r="G139" s="13" t="b">
        <v>1</v>
      </c>
      <c r="H139" s="14" t="s">
        <v>50</v>
      </c>
      <c r="I139" s="14" t="b">
        <v>0</v>
      </c>
      <c r="J139" s="14" t="b">
        <v>0</v>
      </c>
      <c r="K139" s="14" t="s">
        <v>50</v>
      </c>
    </row>
    <row r="140" spans="1:11" x14ac:dyDescent="0.3">
      <c r="A140" s="12" t="s">
        <v>6</v>
      </c>
      <c r="B140" s="17" t="b">
        <v>0</v>
      </c>
      <c r="C140" s="14" t="s">
        <v>50</v>
      </c>
      <c r="D140" s="14" t="b">
        <v>0</v>
      </c>
      <c r="E140" s="14" t="b">
        <v>0</v>
      </c>
      <c r="F140" s="14" t="s">
        <v>50</v>
      </c>
      <c r="G140" s="13" t="b">
        <v>1</v>
      </c>
      <c r="H140" s="14" t="b">
        <v>0</v>
      </c>
      <c r="I140" s="14" t="s">
        <v>50</v>
      </c>
      <c r="J140" s="14" t="b">
        <v>0</v>
      </c>
      <c r="K140" s="14" t="s">
        <v>50</v>
      </c>
    </row>
    <row r="141" spans="1:11" x14ac:dyDescent="0.3">
      <c r="A141" s="12" t="s">
        <v>7</v>
      </c>
      <c r="B141" s="17" t="b">
        <v>0</v>
      </c>
      <c r="C141" s="14" t="b">
        <v>0</v>
      </c>
      <c r="D141" s="14" t="b">
        <v>0</v>
      </c>
      <c r="E141" s="14" t="b">
        <v>0</v>
      </c>
      <c r="F141" s="14" t="b">
        <v>0</v>
      </c>
      <c r="G141" s="13" t="b">
        <v>1</v>
      </c>
      <c r="H141" s="14" t="s">
        <v>50</v>
      </c>
      <c r="I141" s="14" t="s">
        <v>50</v>
      </c>
      <c r="J141" s="14" t="s">
        <v>50</v>
      </c>
      <c r="K141" s="14" t="s">
        <v>50</v>
      </c>
    </row>
    <row r="142" spans="1:11" x14ac:dyDescent="0.3">
      <c r="A142" s="12" t="s">
        <v>8</v>
      </c>
      <c r="B142" s="17" t="b">
        <v>0</v>
      </c>
      <c r="C142" s="14" t="s">
        <v>50</v>
      </c>
      <c r="D142" s="14" t="b">
        <v>0</v>
      </c>
      <c r="E142" s="14" t="b">
        <v>0</v>
      </c>
      <c r="F142" s="14" t="b">
        <v>0</v>
      </c>
      <c r="G142" s="13" t="b">
        <v>1</v>
      </c>
      <c r="H142" s="14" t="s">
        <v>50</v>
      </c>
      <c r="I142" s="14" t="s">
        <v>50</v>
      </c>
      <c r="J142" s="14" t="s">
        <v>50</v>
      </c>
      <c r="K142" s="14" t="b">
        <v>0</v>
      </c>
    </row>
    <row r="143" spans="1:11" x14ac:dyDescent="0.3">
      <c r="A143" s="12" t="s">
        <v>9</v>
      </c>
      <c r="B143" s="17" t="b">
        <v>0</v>
      </c>
      <c r="C143" s="14" t="s">
        <v>50</v>
      </c>
      <c r="D143" s="14" t="s">
        <v>50</v>
      </c>
      <c r="E143" s="14" t="b">
        <v>0</v>
      </c>
      <c r="F143" s="14" t="b">
        <v>0</v>
      </c>
      <c r="G143" s="13" t="b">
        <v>1</v>
      </c>
      <c r="H143" s="14" t="s">
        <v>50</v>
      </c>
      <c r="I143" s="14" t="b">
        <v>0</v>
      </c>
      <c r="J143" s="14" t="b">
        <v>0</v>
      </c>
      <c r="K143" s="14" t="s">
        <v>50</v>
      </c>
    </row>
    <row r="144" spans="1:11" x14ac:dyDescent="0.3">
      <c r="A144" s="12" t="s">
        <v>10</v>
      </c>
      <c r="B144" s="17" t="b">
        <v>0</v>
      </c>
      <c r="C144" s="14" t="s">
        <v>50</v>
      </c>
      <c r="D144" s="14" t="b">
        <v>0</v>
      </c>
      <c r="E144" s="14" t="s">
        <v>50</v>
      </c>
      <c r="F144" s="14" t="s">
        <v>50</v>
      </c>
      <c r="G144" s="13" t="b">
        <v>1</v>
      </c>
      <c r="H144" s="14" t="b">
        <v>0</v>
      </c>
      <c r="I144" s="14" t="s">
        <v>50</v>
      </c>
      <c r="J144" s="14" t="s">
        <v>50</v>
      </c>
      <c r="K144" s="14" t="b">
        <v>0</v>
      </c>
    </row>
    <row r="145" spans="1:11" x14ac:dyDescent="0.3">
      <c r="A145" s="12" t="s">
        <v>11</v>
      </c>
      <c r="B145" s="17" t="b">
        <v>0</v>
      </c>
      <c r="C145" s="14" t="s">
        <v>50</v>
      </c>
      <c r="D145" s="14" t="s">
        <v>50</v>
      </c>
      <c r="E145" s="14" t="b">
        <v>0</v>
      </c>
      <c r="F145" s="14" t="s">
        <v>50</v>
      </c>
      <c r="G145" s="13" t="b">
        <v>1</v>
      </c>
      <c r="H145" s="14" t="s">
        <v>50</v>
      </c>
      <c r="I145" s="14" t="b">
        <v>0</v>
      </c>
      <c r="J145" s="14" t="b">
        <v>0</v>
      </c>
      <c r="K145" s="14" t="s">
        <v>50</v>
      </c>
    </row>
    <row r="146" spans="1:11" x14ac:dyDescent="0.3">
      <c r="A146" s="12" t="s">
        <v>12</v>
      </c>
      <c r="B146" s="17" t="b">
        <v>0</v>
      </c>
      <c r="C146" s="14" t="s">
        <v>50</v>
      </c>
      <c r="D146" s="14" t="b">
        <v>0</v>
      </c>
      <c r="E146" s="14" t="b">
        <v>0</v>
      </c>
      <c r="F146" s="14" t="b">
        <v>0</v>
      </c>
      <c r="G146" s="13" t="b">
        <v>1</v>
      </c>
      <c r="H146" s="14" t="b">
        <v>0</v>
      </c>
      <c r="I146" s="14" t="b">
        <v>0</v>
      </c>
      <c r="J146" s="14" t="s">
        <v>50</v>
      </c>
      <c r="K146" s="14" t="s">
        <v>50</v>
      </c>
    </row>
    <row r="147" spans="1:11" x14ac:dyDescent="0.3">
      <c r="A147" s="12" t="s">
        <v>13</v>
      </c>
      <c r="B147" s="17" t="b">
        <v>0</v>
      </c>
      <c r="C147" s="14" t="s">
        <v>50</v>
      </c>
      <c r="D147" s="14" t="b">
        <v>0</v>
      </c>
      <c r="E147" s="14" t="b">
        <v>0</v>
      </c>
      <c r="F147" s="14" t="b">
        <v>0</v>
      </c>
      <c r="G147" s="13" t="b">
        <v>1</v>
      </c>
      <c r="H147" s="14" t="b">
        <v>0</v>
      </c>
      <c r="I147" s="14" t="b">
        <v>0</v>
      </c>
      <c r="J147" s="14" t="b">
        <v>0</v>
      </c>
      <c r="K147" s="14" t="s">
        <v>50</v>
      </c>
    </row>
    <row r="148" spans="1:11" x14ac:dyDescent="0.3">
      <c r="A148" s="12" t="s">
        <v>14</v>
      </c>
      <c r="B148" s="14" t="s">
        <v>50</v>
      </c>
      <c r="C148" s="14" t="b">
        <v>0</v>
      </c>
      <c r="D148" s="14" t="b">
        <v>0</v>
      </c>
      <c r="E148" s="14" t="b">
        <v>0</v>
      </c>
      <c r="F148" s="14" t="b">
        <v>0</v>
      </c>
      <c r="G148" s="13" t="b">
        <v>1</v>
      </c>
      <c r="H148" s="14" t="s">
        <v>50</v>
      </c>
      <c r="I148" s="14" t="b">
        <v>0</v>
      </c>
      <c r="J148" s="14" t="b">
        <v>0</v>
      </c>
      <c r="K148" s="14" t="s">
        <v>50</v>
      </c>
    </row>
    <row r="149" spans="1:11" x14ac:dyDescent="0.3">
      <c r="A149" s="12" t="s">
        <v>15</v>
      </c>
      <c r="B149" s="17" t="b">
        <v>0</v>
      </c>
      <c r="C149" s="14" t="b">
        <v>0</v>
      </c>
      <c r="D149" s="14" t="b">
        <v>0</v>
      </c>
      <c r="E149" s="14" t="s">
        <v>50</v>
      </c>
      <c r="F149" s="14" t="b">
        <v>0</v>
      </c>
      <c r="G149" s="13" t="b">
        <v>1</v>
      </c>
      <c r="H149" s="14" t="b">
        <v>0</v>
      </c>
      <c r="I149" s="14" t="b">
        <v>0</v>
      </c>
      <c r="J149" s="14" t="s">
        <v>50</v>
      </c>
      <c r="K149" s="14" t="s">
        <v>50</v>
      </c>
    </row>
    <row r="150" spans="1:11" x14ac:dyDescent="0.3">
      <c r="A150" s="12" t="s">
        <v>16</v>
      </c>
      <c r="B150" s="17" t="b">
        <v>0</v>
      </c>
      <c r="C150" s="14" t="s">
        <v>50</v>
      </c>
      <c r="D150" s="14" t="b">
        <v>0</v>
      </c>
      <c r="E150" s="14" t="b">
        <v>0</v>
      </c>
      <c r="F150" s="14" t="b">
        <v>0</v>
      </c>
      <c r="G150" s="13" t="b">
        <v>1</v>
      </c>
      <c r="H150" s="14" t="s">
        <v>50</v>
      </c>
      <c r="I150" s="14" t="b">
        <v>0</v>
      </c>
      <c r="J150" s="14" t="b">
        <v>0</v>
      </c>
      <c r="K150" s="14" t="b">
        <v>0</v>
      </c>
    </row>
    <row r="151" spans="1:11" x14ac:dyDescent="0.3">
      <c r="A151" s="12" t="s">
        <v>51</v>
      </c>
      <c r="B151" s="12">
        <f t="shared" ref="B151:K151" si="9">SUMIFS($M$3:$M$14,B139:B150,"TRUE")</f>
        <v>0</v>
      </c>
      <c r="C151" s="12">
        <f t="shared" si="9"/>
        <v>0</v>
      </c>
      <c r="D151" s="12">
        <f t="shared" si="9"/>
        <v>0</v>
      </c>
      <c r="E151" s="12">
        <f t="shared" si="9"/>
        <v>0</v>
      </c>
      <c r="F151" s="12">
        <f t="shared" si="9"/>
        <v>0</v>
      </c>
      <c r="G151" s="12">
        <f t="shared" si="9"/>
        <v>4095</v>
      </c>
      <c r="H151" s="12">
        <f t="shared" si="9"/>
        <v>0</v>
      </c>
      <c r="I151" s="12">
        <f t="shared" si="9"/>
        <v>0</v>
      </c>
      <c r="J151" s="12">
        <f t="shared" si="9"/>
        <v>0</v>
      </c>
      <c r="K151" s="12">
        <f t="shared" si="9"/>
        <v>0</v>
      </c>
    </row>
    <row r="153" spans="1:11" x14ac:dyDescent="0.3">
      <c r="A153" s="15" t="s">
        <v>61</v>
      </c>
      <c r="B153" s="9"/>
      <c r="C153" s="9"/>
      <c r="D153" s="9"/>
      <c r="E153" s="9"/>
      <c r="F153" s="9"/>
      <c r="G153" s="9"/>
      <c r="H153" s="9"/>
      <c r="I153" s="9"/>
      <c r="J153" s="9"/>
      <c r="K153" s="10"/>
    </row>
    <row r="154" spans="1:11" x14ac:dyDescent="0.3">
      <c r="A154" s="16" t="s">
        <v>53</v>
      </c>
      <c r="B154" s="12">
        <v>1</v>
      </c>
      <c r="C154" s="12">
        <v>2</v>
      </c>
      <c r="D154" s="12">
        <v>4</v>
      </c>
      <c r="E154" s="12">
        <v>8</v>
      </c>
      <c r="F154" s="12">
        <v>16</v>
      </c>
      <c r="G154" s="12">
        <v>32</v>
      </c>
      <c r="H154" s="12">
        <v>64</v>
      </c>
      <c r="I154" s="12">
        <v>128</v>
      </c>
      <c r="J154" s="12">
        <v>256</v>
      </c>
      <c r="K154" s="12">
        <v>1024</v>
      </c>
    </row>
    <row r="155" spans="1:11" x14ac:dyDescent="0.3">
      <c r="A155" s="12" t="s">
        <v>0</v>
      </c>
      <c r="B155" s="12" t="s">
        <v>18</v>
      </c>
      <c r="C155" s="12" t="s">
        <v>19</v>
      </c>
      <c r="D155" s="12" t="s">
        <v>20</v>
      </c>
      <c r="E155" s="12" t="s">
        <v>21</v>
      </c>
      <c r="F155" s="12" t="s">
        <v>22</v>
      </c>
      <c r="G155" s="12" t="s">
        <v>23</v>
      </c>
      <c r="H155" s="12" t="s">
        <v>24</v>
      </c>
      <c r="I155" s="12" t="s">
        <v>25</v>
      </c>
      <c r="J155" s="12" t="s">
        <v>26</v>
      </c>
      <c r="K155" s="12" t="s">
        <v>27</v>
      </c>
    </row>
    <row r="156" spans="1:11" x14ac:dyDescent="0.3">
      <c r="A156" s="12" t="s">
        <v>4</v>
      </c>
      <c r="B156" s="13" t="b">
        <v>1</v>
      </c>
      <c r="C156" s="13" t="b">
        <v>1</v>
      </c>
      <c r="D156" s="14" t="s">
        <v>50</v>
      </c>
      <c r="E156" s="14" t="b">
        <v>0</v>
      </c>
      <c r="F156" s="14" t="b">
        <v>0</v>
      </c>
      <c r="G156" s="14" t="b">
        <v>0</v>
      </c>
      <c r="H156" s="14" t="s">
        <v>50</v>
      </c>
      <c r="I156" s="14" t="b">
        <v>0</v>
      </c>
      <c r="J156" s="14" t="b">
        <v>0</v>
      </c>
      <c r="K156" s="14" t="s">
        <v>50</v>
      </c>
    </row>
    <row r="157" spans="1:11" x14ac:dyDescent="0.3">
      <c r="A157" s="12" t="s">
        <v>6</v>
      </c>
      <c r="B157" s="13" t="b">
        <v>1</v>
      </c>
      <c r="C157" s="14" t="s">
        <v>50</v>
      </c>
      <c r="D157" s="14" t="b">
        <v>0</v>
      </c>
      <c r="E157" s="14" t="b">
        <v>0</v>
      </c>
      <c r="F157" s="14" t="s">
        <v>50</v>
      </c>
      <c r="G157" s="14" t="b">
        <v>0</v>
      </c>
      <c r="H157" s="13" t="b">
        <v>1</v>
      </c>
      <c r="I157" s="14" t="s">
        <v>50</v>
      </c>
      <c r="J157" s="14" t="b">
        <v>0</v>
      </c>
      <c r="K157" s="14" t="s">
        <v>50</v>
      </c>
    </row>
    <row r="158" spans="1:11" x14ac:dyDescent="0.3">
      <c r="A158" s="12" t="s">
        <v>7</v>
      </c>
      <c r="B158" s="13" t="b">
        <v>1</v>
      </c>
      <c r="C158" s="13" t="b">
        <v>1</v>
      </c>
      <c r="D158" s="14" t="b">
        <v>0</v>
      </c>
      <c r="E158" s="14" t="b">
        <v>0</v>
      </c>
      <c r="F158" s="14" t="b">
        <v>0</v>
      </c>
      <c r="G158" s="14" t="b">
        <v>0</v>
      </c>
      <c r="H158" s="14" t="s">
        <v>50</v>
      </c>
      <c r="I158" s="14" t="s">
        <v>50</v>
      </c>
      <c r="J158" s="14" t="s">
        <v>50</v>
      </c>
      <c r="K158" s="14" t="s">
        <v>50</v>
      </c>
    </row>
    <row r="159" spans="1:11" x14ac:dyDescent="0.3">
      <c r="A159" s="12" t="s">
        <v>8</v>
      </c>
      <c r="B159" s="13" t="b">
        <v>1</v>
      </c>
      <c r="C159" s="14" t="s">
        <v>50</v>
      </c>
      <c r="D159" s="14" t="b">
        <v>0</v>
      </c>
      <c r="E159" s="14" t="b">
        <v>0</v>
      </c>
      <c r="F159" s="14" t="b">
        <v>0</v>
      </c>
      <c r="G159" s="14" t="b">
        <v>0</v>
      </c>
      <c r="H159" s="14" t="s">
        <v>50</v>
      </c>
      <c r="I159" s="14" t="s">
        <v>50</v>
      </c>
      <c r="J159" s="14" t="s">
        <v>50</v>
      </c>
      <c r="K159" s="14" t="b">
        <v>0</v>
      </c>
    </row>
    <row r="160" spans="1:11" x14ac:dyDescent="0.3">
      <c r="A160" s="12" t="s">
        <v>9</v>
      </c>
      <c r="B160" s="13" t="b">
        <v>1</v>
      </c>
      <c r="C160" s="14" t="s">
        <v>50</v>
      </c>
      <c r="D160" s="14" t="s">
        <v>50</v>
      </c>
      <c r="E160" s="14" t="b">
        <v>0</v>
      </c>
      <c r="F160" s="14" t="b">
        <v>0</v>
      </c>
      <c r="G160" s="14" t="b">
        <v>0</v>
      </c>
      <c r="H160" s="14" t="s">
        <v>50</v>
      </c>
      <c r="I160" s="14" t="b">
        <v>0</v>
      </c>
      <c r="J160" s="14" t="b">
        <v>0</v>
      </c>
      <c r="K160" s="14" t="s">
        <v>50</v>
      </c>
    </row>
    <row r="161" spans="1:11" x14ac:dyDescent="0.3">
      <c r="A161" s="12" t="s">
        <v>10</v>
      </c>
      <c r="B161" s="13" t="b">
        <v>1</v>
      </c>
      <c r="C161" s="14" t="s">
        <v>50</v>
      </c>
      <c r="D161" s="14" t="b">
        <v>0</v>
      </c>
      <c r="E161" s="14" t="s">
        <v>50</v>
      </c>
      <c r="F161" s="14" t="s">
        <v>50</v>
      </c>
      <c r="G161" s="14" t="b">
        <v>0</v>
      </c>
      <c r="H161" s="13" t="b">
        <v>1</v>
      </c>
      <c r="I161" s="14" t="s">
        <v>50</v>
      </c>
      <c r="J161" s="14" t="s">
        <v>50</v>
      </c>
      <c r="K161" s="14" t="b">
        <v>0</v>
      </c>
    </row>
    <row r="162" spans="1:11" x14ac:dyDescent="0.3">
      <c r="A162" s="12" t="s">
        <v>11</v>
      </c>
      <c r="B162" s="13" t="b">
        <v>1</v>
      </c>
      <c r="C162" s="14" t="s">
        <v>50</v>
      </c>
      <c r="D162" s="14" t="s">
        <v>50</v>
      </c>
      <c r="E162" s="14" t="b">
        <v>0</v>
      </c>
      <c r="F162" s="14" t="s">
        <v>50</v>
      </c>
      <c r="G162" s="14" t="b">
        <v>0</v>
      </c>
      <c r="H162" s="14" t="s">
        <v>50</v>
      </c>
      <c r="I162" s="14" t="b">
        <v>0</v>
      </c>
      <c r="J162" s="14" t="b">
        <v>0</v>
      </c>
      <c r="K162" s="14" t="s">
        <v>50</v>
      </c>
    </row>
    <row r="163" spans="1:11" x14ac:dyDescent="0.3">
      <c r="A163" s="12" t="s">
        <v>12</v>
      </c>
      <c r="B163" s="13" t="b">
        <v>1</v>
      </c>
      <c r="C163" s="14" t="s">
        <v>50</v>
      </c>
      <c r="D163" s="14" t="b">
        <v>0</v>
      </c>
      <c r="E163" s="14" t="b">
        <v>0</v>
      </c>
      <c r="F163" s="14" t="b">
        <v>0</v>
      </c>
      <c r="G163" s="14" t="b">
        <v>0</v>
      </c>
      <c r="H163" s="13" t="b">
        <v>1</v>
      </c>
      <c r="I163" s="14" t="b">
        <v>0</v>
      </c>
      <c r="J163" s="14" t="s">
        <v>50</v>
      </c>
      <c r="K163" s="14" t="s">
        <v>50</v>
      </c>
    </row>
    <row r="164" spans="1:11" x14ac:dyDescent="0.3">
      <c r="A164" s="12" t="s">
        <v>13</v>
      </c>
      <c r="B164" s="13" t="b">
        <v>1</v>
      </c>
      <c r="C164" s="14" t="s">
        <v>50</v>
      </c>
      <c r="D164" s="14" t="b">
        <v>0</v>
      </c>
      <c r="E164" s="14" t="b">
        <v>0</v>
      </c>
      <c r="F164" s="14" t="b">
        <v>0</v>
      </c>
      <c r="G164" s="14" t="b">
        <v>0</v>
      </c>
      <c r="H164" s="13" t="b">
        <v>1</v>
      </c>
      <c r="I164" s="14" t="b">
        <v>0</v>
      </c>
      <c r="J164" s="14" t="b">
        <v>0</v>
      </c>
      <c r="K164" s="14" t="s">
        <v>50</v>
      </c>
    </row>
    <row r="165" spans="1:11" x14ac:dyDescent="0.3">
      <c r="A165" s="12" t="s">
        <v>14</v>
      </c>
      <c r="B165" s="14" t="s">
        <v>50</v>
      </c>
      <c r="C165" s="13" t="b">
        <v>1</v>
      </c>
      <c r="D165" s="14" t="b">
        <v>0</v>
      </c>
      <c r="E165" s="14" t="b">
        <v>0</v>
      </c>
      <c r="F165" s="14" t="b">
        <v>0</v>
      </c>
      <c r="G165" s="14" t="b">
        <v>0</v>
      </c>
      <c r="H165" s="14" t="s">
        <v>50</v>
      </c>
      <c r="I165" s="14" t="b">
        <v>0</v>
      </c>
      <c r="J165" s="14" t="b">
        <v>0</v>
      </c>
      <c r="K165" s="14" t="s">
        <v>50</v>
      </c>
    </row>
    <row r="166" spans="1:11" x14ac:dyDescent="0.3">
      <c r="A166" s="12" t="s">
        <v>15</v>
      </c>
      <c r="B166" s="13" t="b">
        <v>1</v>
      </c>
      <c r="C166" s="13" t="b">
        <v>1</v>
      </c>
      <c r="D166" s="14" t="b">
        <v>0</v>
      </c>
      <c r="E166" s="14" t="s">
        <v>50</v>
      </c>
      <c r="F166" s="14" t="b">
        <v>0</v>
      </c>
      <c r="G166" s="14" t="b">
        <v>0</v>
      </c>
      <c r="H166" s="13" t="b">
        <v>1</v>
      </c>
      <c r="I166" s="14" t="b">
        <v>0</v>
      </c>
      <c r="J166" s="14" t="s">
        <v>50</v>
      </c>
      <c r="K166" s="14" t="s">
        <v>50</v>
      </c>
    </row>
    <row r="167" spans="1:11" x14ac:dyDescent="0.3">
      <c r="A167" s="12" t="s">
        <v>16</v>
      </c>
      <c r="B167" s="13" t="b">
        <v>1</v>
      </c>
      <c r="C167" s="14" t="s">
        <v>50</v>
      </c>
      <c r="D167" s="14" t="b">
        <v>0</v>
      </c>
      <c r="E167" s="14" t="b">
        <v>0</v>
      </c>
      <c r="F167" s="14" t="b">
        <v>0</v>
      </c>
      <c r="G167" s="14" t="b">
        <v>0</v>
      </c>
      <c r="H167" s="14" t="s">
        <v>50</v>
      </c>
      <c r="I167" s="14" t="b">
        <v>0</v>
      </c>
      <c r="J167" s="14" t="b">
        <v>0</v>
      </c>
      <c r="K167" s="14" t="b">
        <v>0</v>
      </c>
    </row>
    <row r="168" spans="1:11" x14ac:dyDescent="0.3">
      <c r="A168" s="12" t="s">
        <v>51</v>
      </c>
      <c r="B168" s="12">
        <f t="shared" ref="B168:K168" si="10">SUMIFS($M$3:$M$14,B156:B167,"TRUE")</f>
        <v>3583</v>
      </c>
      <c r="C168" s="12">
        <f t="shared" si="10"/>
        <v>1541</v>
      </c>
      <c r="D168" s="12">
        <f t="shared" si="10"/>
        <v>0</v>
      </c>
      <c r="E168" s="12">
        <f t="shared" si="10"/>
        <v>0</v>
      </c>
      <c r="F168" s="12">
        <f t="shared" si="10"/>
        <v>0</v>
      </c>
      <c r="G168" s="12">
        <f t="shared" si="10"/>
        <v>0</v>
      </c>
      <c r="H168" s="12">
        <f t="shared" si="10"/>
        <v>1442</v>
      </c>
      <c r="I168" s="12">
        <f t="shared" si="10"/>
        <v>0</v>
      </c>
      <c r="J168" s="12">
        <f t="shared" si="10"/>
        <v>0</v>
      </c>
      <c r="K168" s="12">
        <f t="shared" si="10"/>
        <v>0</v>
      </c>
    </row>
    <row r="170" spans="1:11" x14ac:dyDescent="0.3">
      <c r="A170" s="15" t="s">
        <v>62</v>
      </c>
      <c r="B170" s="9"/>
      <c r="C170" s="9"/>
      <c r="D170" s="9"/>
      <c r="E170" s="9"/>
      <c r="F170" s="9"/>
      <c r="G170" s="9"/>
      <c r="H170" s="9"/>
      <c r="I170" s="9"/>
      <c r="J170" s="9"/>
      <c r="K170" s="10"/>
    </row>
    <row r="171" spans="1:11" x14ac:dyDescent="0.3">
      <c r="A171" s="16" t="s">
        <v>53</v>
      </c>
      <c r="B171" s="12">
        <v>1</v>
      </c>
      <c r="C171" s="12">
        <v>2</v>
      </c>
      <c r="D171" s="12">
        <v>4</v>
      </c>
      <c r="E171" s="12">
        <v>8</v>
      </c>
      <c r="F171" s="12">
        <v>16</v>
      </c>
      <c r="G171" s="12">
        <v>32</v>
      </c>
      <c r="H171" s="12">
        <v>64</v>
      </c>
      <c r="I171" s="12">
        <v>128</v>
      </c>
      <c r="J171" s="12">
        <v>256</v>
      </c>
      <c r="K171" s="12">
        <v>1024</v>
      </c>
    </row>
    <row r="172" spans="1:11" x14ac:dyDescent="0.3">
      <c r="A172" s="12" t="s">
        <v>0</v>
      </c>
      <c r="B172" s="12" t="s">
        <v>18</v>
      </c>
      <c r="C172" s="12" t="s">
        <v>19</v>
      </c>
      <c r="D172" s="12" t="s">
        <v>20</v>
      </c>
      <c r="E172" s="12" t="s">
        <v>21</v>
      </c>
      <c r="F172" s="12" t="s">
        <v>22</v>
      </c>
      <c r="G172" s="12" t="s">
        <v>23</v>
      </c>
      <c r="H172" s="12" t="s">
        <v>24</v>
      </c>
      <c r="I172" s="12" t="s">
        <v>25</v>
      </c>
      <c r="J172" s="12" t="s">
        <v>26</v>
      </c>
      <c r="K172" s="12" t="s">
        <v>27</v>
      </c>
    </row>
    <row r="173" spans="1:11" x14ac:dyDescent="0.3">
      <c r="A173" s="12" t="s">
        <v>4</v>
      </c>
      <c r="B173" s="17" t="b">
        <v>0</v>
      </c>
      <c r="C173" s="14" t="b">
        <v>0</v>
      </c>
      <c r="D173" s="14" t="s">
        <v>50</v>
      </c>
      <c r="E173" s="14" t="b">
        <v>0</v>
      </c>
      <c r="F173" s="14" t="b">
        <v>0</v>
      </c>
      <c r="G173" s="14" t="b">
        <v>0</v>
      </c>
      <c r="H173" s="14" t="s">
        <v>50</v>
      </c>
      <c r="I173" s="13" t="b">
        <v>1</v>
      </c>
      <c r="J173" s="14" t="b">
        <v>0</v>
      </c>
      <c r="K173" s="14" t="s">
        <v>50</v>
      </c>
    </row>
    <row r="174" spans="1:11" x14ac:dyDescent="0.3">
      <c r="A174" s="12" t="s">
        <v>6</v>
      </c>
      <c r="B174" s="17" t="b">
        <v>0</v>
      </c>
      <c r="C174" s="14" t="s">
        <v>50</v>
      </c>
      <c r="D174" s="14" t="b">
        <v>0</v>
      </c>
      <c r="E174" s="14" t="b">
        <v>0</v>
      </c>
      <c r="F174" s="14" t="s">
        <v>50</v>
      </c>
      <c r="G174" s="14" t="b">
        <v>0</v>
      </c>
      <c r="H174" s="13" t="b">
        <v>1</v>
      </c>
      <c r="I174" s="14" t="s">
        <v>50</v>
      </c>
      <c r="J174" s="14" t="b">
        <v>0</v>
      </c>
      <c r="K174" s="14" t="s">
        <v>50</v>
      </c>
    </row>
    <row r="175" spans="1:11" x14ac:dyDescent="0.3">
      <c r="A175" s="12" t="s">
        <v>7</v>
      </c>
      <c r="B175" s="17" t="b">
        <v>0</v>
      </c>
      <c r="C175" s="14" t="b">
        <v>0</v>
      </c>
      <c r="D175" s="14" t="b">
        <v>0</v>
      </c>
      <c r="E175" s="14" t="b">
        <v>0</v>
      </c>
      <c r="F175" s="14" t="b">
        <v>0</v>
      </c>
      <c r="G175" s="14" t="b">
        <v>0</v>
      </c>
      <c r="H175" s="14" t="s">
        <v>50</v>
      </c>
      <c r="I175" s="14" t="s">
        <v>50</v>
      </c>
      <c r="J175" s="14" t="s">
        <v>50</v>
      </c>
      <c r="K175" s="14" t="s">
        <v>50</v>
      </c>
    </row>
    <row r="176" spans="1:11" x14ac:dyDescent="0.3">
      <c r="A176" s="12" t="s">
        <v>8</v>
      </c>
      <c r="B176" s="17" t="b">
        <v>0</v>
      </c>
      <c r="C176" s="14" t="s">
        <v>50</v>
      </c>
      <c r="D176" s="14" t="b">
        <v>0</v>
      </c>
      <c r="E176" s="14" t="b">
        <v>0</v>
      </c>
      <c r="F176" s="14" t="b">
        <v>0</v>
      </c>
      <c r="G176" s="14" t="b">
        <v>0</v>
      </c>
      <c r="H176" s="14" t="s">
        <v>50</v>
      </c>
      <c r="I176" s="14" t="s">
        <v>50</v>
      </c>
      <c r="J176" s="14" t="s">
        <v>50</v>
      </c>
      <c r="K176" s="13" t="b">
        <v>1</v>
      </c>
    </row>
    <row r="177" spans="1:11" x14ac:dyDescent="0.3">
      <c r="A177" s="12" t="s">
        <v>9</v>
      </c>
      <c r="B177" s="17" t="b">
        <v>0</v>
      </c>
      <c r="C177" s="14" t="s">
        <v>50</v>
      </c>
      <c r="D177" s="14" t="s">
        <v>50</v>
      </c>
      <c r="E177" s="14" t="b">
        <v>0</v>
      </c>
      <c r="F177" s="14" t="b">
        <v>0</v>
      </c>
      <c r="G177" s="14" t="b">
        <v>0</v>
      </c>
      <c r="H177" s="14" t="s">
        <v>50</v>
      </c>
      <c r="I177" s="13" t="b">
        <v>1</v>
      </c>
      <c r="J177" s="14" t="b">
        <v>0</v>
      </c>
      <c r="K177" s="14" t="s">
        <v>50</v>
      </c>
    </row>
    <row r="178" spans="1:11" x14ac:dyDescent="0.3">
      <c r="A178" s="12" t="s">
        <v>10</v>
      </c>
      <c r="B178" s="17" t="b">
        <v>0</v>
      </c>
      <c r="C178" s="14" t="s">
        <v>50</v>
      </c>
      <c r="D178" s="14" t="b">
        <v>0</v>
      </c>
      <c r="E178" s="14" t="s">
        <v>50</v>
      </c>
      <c r="F178" s="14" t="s">
        <v>50</v>
      </c>
      <c r="G178" s="14" t="b">
        <v>0</v>
      </c>
      <c r="H178" s="13" t="b">
        <v>1</v>
      </c>
      <c r="I178" s="14" t="s">
        <v>50</v>
      </c>
      <c r="J178" s="14" t="s">
        <v>50</v>
      </c>
      <c r="K178" s="13" t="b">
        <v>1</v>
      </c>
    </row>
    <row r="179" spans="1:11" x14ac:dyDescent="0.3">
      <c r="A179" s="12" t="s">
        <v>11</v>
      </c>
      <c r="B179" s="17" t="b">
        <v>0</v>
      </c>
      <c r="C179" s="14" t="s">
        <v>50</v>
      </c>
      <c r="D179" s="14" t="s">
        <v>50</v>
      </c>
      <c r="E179" s="14" t="b">
        <v>0</v>
      </c>
      <c r="F179" s="14" t="s">
        <v>50</v>
      </c>
      <c r="G179" s="14" t="b">
        <v>0</v>
      </c>
      <c r="H179" s="14" t="s">
        <v>50</v>
      </c>
      <c r="I179" s="13" t="b">
        <v>1</v>
      </c>
      <c r="J179" s="14" t="b">
        <v>0</v>
      </c>
      <c r="K179" s="14" t="s">
        <v>50</v>
      </c>
    </row>
    <row r="180" spans="1:11" x14ac:dyDescent="0.3">
      <c r="A180" s="12" t="s">
        <v>12</v>
      </c>
      <c r="B180" s="17" t="b">
        <v>0</v>
      </c>
      <c r="C180" s="14" t="s">
        <v>50</v>
      </c>
      <c r="D180" s="14" t="b">
        <v>0</v>
      </c>
      <c r="E180" s="14" t="b">
        <v>0</v>
      </c>
      <c r="F180" s="14" t="b">
        <v>0</v>
      </c>
      <c r="G180" s="14" t="b">
        <v>0</v>
      </c>
      <c r="H180" s="13" t="b">
        <v>1</v>
      </c>
      <c r="I180" s="13" t="b">
        <v>1</v>
      </c>
      <c r="J180" s="14" t="s">
        <v>50</v>
      </c>
      <c r="K180" s="14" t="s">
        <v>50</v>
      </c>
    </row>
    <row r="181" spans="1:11" x14ac:dyDescent="0.3">
      <c r="A181" s="12" t="s">
        <v>13</v>
      </c>
      <c r="B181" s="17" t="b">
        <v>0</v>
      </c>
      <c r="C181" s="14" t="s">
        <v>50</v>
      </c>
      <c r="D181" s="14" t="b">
        <v>0</v>
      </c>
      <c r="E181" s="14" t="b">
        <v>0</v>
      </c>
      <c r="F181" s="14" t="b">
        <v>0</v>
      </c>
      <c r="G181" s="14" t="b">
        <v>0</v>
      </c>
      <c r="H181" s="13" t="b">
        <v>1</v>
      </c>
      <c r="I181" s="13" t="b">
        <v>1</v>
      </c>
      <c r="J181" s="14" t="b">
        <v>0</v>
      </c>
      <c r="K181" s="14" t="s">
        <v>50</v>
      </c>
    </row>
    <row r="182" spans="1:11" x14ac:dyDescent="0.3">
      <c r="A182" s="12" t="s">
        <v>14</v>
      </c>
      <c r="B182" s="14" t="s">
        <v>50</v>
      </c>
      <c r="C182" s="14" t="b">
        <v>0</v>
      </c>
      <c r="D182" s="14" t="b">
        <v>0</v>
      </c>
      <c r="E182" s="14" t="b">
        <v>0</v>
      </c>
      <c r="F182" s="14" t="b">
        <v>0</v>
      </c>
      <c r="G182" s="14" t="b">
        <v>0</v>
      </c>
      <c r="H182" s="14" t="s">
        <v>50</v>
      </c>
      <c r="I182" s="13" t="b">
        <v>1</v>
      </c>
      <c r="J182" s="14" t="b">
        <v>0</v>
      </c>
      <c r="K182" s="14" t="s">
        <v>50</v>
      </c>
    </row>
    <row r="183" spans="1:11" x14ac:dyDescent="0.3">
      <c r="A183" s="12" t="s">
        <v>15</v>
      </c>
      <c r="B183" s="17" t="b">
        <v>0</v>
      </c>
      <c r="C183" s="14" t="b">
        <v>0</v>
      </c>
      <c r="D183" s="14" t="b">
        <v>0</v>
      </c>
      <c r="E183" s="14" t="s">
        <v>50</v>
      </c>
      <c r="F183" s="14" t="b">
        <v>0</v>
      </c>
      <c r="G183" s="14" t="b">
        <v>0</v>
      </c>
      <c r="H183" s="13" t="b">
        <v>1</v>
      </c>
      <c r="I183" s="13" t="b">
        <v>1</v>
      </c>
      <c r="J183" s="14" t="s">
        <v>50</v>
      </c>
      <c r="K183" s="14" t="s">
        <v>50</v>
      </c>
    </row>
    <row r="184" spans="1:11" x14ac:dyDescent="0.3">
      <c r="A184" s="12" t="s">
        <v>16</v>
      </c>
      <c r="B184" s="17" t="b">
        <v>0</v>
      </c>
      <c r="C184" s="14" t="s">
        <v>50</v>
      </c>
      <c r="D184" s="14" t="b">
        <v>0</v>
      </c>
      <c r="E184" s="14" t="b">
        <v>0</v>
      </c>
      <c r="F184" s="14" t="b">
        <v>0</v>
      </c>
      <c r="G184" s="14" t="b">
        <v>0</v>
      </c>
      <c r="H184" s="14" t="s">
        <v>50</v>
      </c>
      <c r="I184" s="13" t="b">
        <v>1</v>
      </c>
      <c r="J184" s="14" t="b">
        <v>0</v>
      </c>
      <c r="K184" s="13" t="b">
        <v>1</v>
      </c>
    </row>
    <row r="185" spans="1:11" x14ac:dyDescent="0.3">
      <c r="A185" s="12" t="s">
        <v>51</v>
      </c>
      <c r="B185" s="12">
        <f t="shared" ref="B185:K185" si="11">SUMIFS($M$3:$M$14,B173:B184,"TRUE")</f>
        <v>0</v>
      </c>
      <c r="C185" s="12">
        <f t="shared" si="11"/>
        <v>0</v>
      </c>
      <c r="D185" s="12">
        <f t="shared" si="11"/>
        <v>0</v>
      </c>
      <c r="E185" s="12">
        <f t="shared" si="11"/>
        <v>0</v>
      </c>
      <c r="F185" s="12">
        <f t="shared" si="11"/>
        <v>0</v>
      </c>
      <c r="G185" s="12">
        <f t="shared" si="11"/>
        <v>0</v>
      </c>
      <c r="H185" s="12">
        <f t="shared" si="11"/>
        <v>1442</v>
      </c>
      <c r="I185" s="12">
        <f t="shared" si="11"/>
        <v>4049</v>
      </c>
      <c r="J185" s="12">
        <f t="shared" si="11"/>
        <v>0</v>
      </c>
      <c r="K185" s="12">
        <f t="shared" si="11"/>
        <v>2088</v>
      </c>
    </row>
    <row r="187" spans="1:11" x14ac:dyDescent="0.3">
      <c r="A187" s="15" t="s">
        <v>63</v>
      </c>
      <c r="B187" s="9"/>
      <c r="C187" s="9"/>
      <c r="D187" s="9"/>
      <c r="E187" s="9"/>
      <c r="F187" s="9"/>
      <c r="G187" s="9"/>
      <c r="H187" s="9"/>
      <c r="I187" s="9"/>
      <c r="J187" s="9"/>
      <c r="K187" s="10"/>
    </row>
    <row r="188" spans="1:11" x14ac:dyDescent="0.3">
      <c r="A188" s="16" t="s">
        <v>53</v>
      </c>
      <c r="B188" s="12">
        <v>1</v>
      </c>
      <c r="C188" s="12">
        <v>2</v>
      </c>
      <c r="D188" s="12">
        <v>4</v>
      </c>
      <c r="E188" s="12">
        <v>8</v>
      </c>
      <c r="F188" s="12">
        <v>16</v>
      </c>
      <c r="G188" s="12">
        <v>32</v>
      </c>
      <c r="H188" s="12">
        <v>64</v>
      </c>
      <c r="I188" s="12">
        <v>128</v>
      </c>
      <c r="J188" s="12">
        <v>256</v>
      </c>
      <c r="K188" s="12">
        <v>1024</v>
      </c>
    </row>
    <row r="189" spans="1:11" x14ac:dyDescent="0.3">
      <c r="A189" s="12" t="s">
        <v>0</v>
      </c>
      <c r="B189" s="12" t="s">
        <v>18</v>
      </c>
      <c r="C189" s="12" t="s">
        <v>19</v>
      </c>
      <c r="D189" s="12" t="s">
        <v>20</v>
      </c>
      <c r="E189" s="12" t="s">
        <v>21</v>
      </c>
      <c r="F189" s="12" t="s">
        <v>22</v>
      </c>
      <c r="G189" s="12" t="s">
        <v>23</v>
      </c>
      <c r="H189" s="12" t="s">
        <v>24</v>
      </c>
      <c r="I189" s="12" t="s">
        <v>25</v>
      </c>
      <c r="J189" s="12" t="s">
        <v>26</v>
      </c>
      <c r="K189" s="12" t="s">
        <v>27</v>
      </c>
    </row>
    <row r="190" spans="1:11" x14ac:dyDescent="0.3">
      <c r="A190" s="12" t="s">
        <v>4</v>
      </c>
      <c r="B190" s="13" t="b">
        <v>1</v>
      </c>
      <c r="C190" s="14" t="b">
        <v>0</v>
      </c>
      <c r="D190" s="14" t="s">
        <v>50</v>
      </c>
      <c r="E190" s="14" t="b">
        <v>0</v>
      </c>
      <c r="F190" s="14" t="b">
        <v>0</v>
      </c>
      <c r="G190" s="13" t="b">
        <v>1</v>
      </c>
      <c r="H190" s="14" t="s">
        <v>50</v>
      </c>
      <c r="I190" s="14" t="b">
        <v>0</v>
      </c>
      <c r="J190" s="14" t="b">
        <v>0</v>
      </c>
      <c r="K190" s="14" t="s">
        <v>50</v>
      </c>
    </row>
    <row r="191" spans="1:11" x14ac:dyDescent="0.3">
      <c r="A191" s="12" t="s">
        <v>6</v>
      </c>
      <c r="B191" s="13" t="b">
        <v>1</v>
      </c>
      <c r="C191" s="14" t="s">
        <v>50</v>
      </c>
      <c r="D191" s="14" t="b">
        <v>0</v>
      </c>
      <c r="E191" s="14" t="b">
        <v>0</v>
      </c>
      <c r="F191" s="14" t="s">
        <v>50</v>
      </c>
      <c r="G191" s="13" t="b">
        <v>1</v>
      </c>
      <c r="H191" s="14" t="b">
        <v>0</v>
      </c>
      <c r="I191" s="14" t="s">
        <v>50</v>
      </c>
      <c r="J191" s="14" t="b">
        <v>0</v>
      </c>
      <c r="K191" s="14" t="s">
        <v>50</v>
      </c>
    </row>
    <row r="192" spans="1:11" x14ac:dyDescent="0.3">
      <c r="A192" s="12" t="s">
        <v>7</v>
      </c>
      <c r="B192" s="17" t="b">
        <v>0</v>
      </c>
      <c r="C192" s="14" t="b">
        <v>0</v>
      </c>
      <c r="D192" s="14" t="b">
        <v>0</v>
      </c>
      <c r="E192" s="14" t="b">
        <v>0</v>
      </c>
      <c r="F192" s="14" t="b">
        <v>0</v>
      </c>
      <c r="G192" s="13" t="b">
        <v>1</v>
      </c>
      <c r="H192" s="14" t="s">
        <v>50</v>
      </c>
      <c r="I192" s="14" t="s">
        <v>50</v>
      </c>
      <c r="J192" s="14" t="s">
        <v>50</v>
      </c>
      <c r="K192" s="14" t="s">
        <v>50</v>
      </c>
    </row>
    <row r="193" spans="1:11" x14ac:dyDescent="0.3">
      <c r="A193" s="12" t="s">
        <v>8</v>
      </c>
      <c r="B193" s="13" t="b">
        <v>1</v>
      </c>
      <c r="C193" s="14" t="s">
        <v>50</v>
      </c>
      <c r="D193" s="14" t="b">
        <v>0</v>
      </c>
      <c r="E193" s="14" t="b">
        <v>0</v>
      </c>
      <c r="F193" s="14" t="b">
        <v>0</v>
      </c>
      <c r="G193" s="13" t="b">
        <v>1</v>
      </c>
      <c r="H193" s="14" t="s">
        <v>50</v>
      </c>
      <c r="I193" s="14" t="s">
        <v>50</v>
      </c>
      <c r="J193" s="14" t="s">
        <v>50</v>
      </c>
      <c r="K193" s="14" t="b">
        <v>0</v>
      </c>
    </row>
    <row r="194" spans="1:11" x14ac:dyDescent="0.3">
      <c r="A194" s="12" t="s">
        <v>9</v>
      </c>
      <c r="B194" s="13" t="b">
        <v>1</v>
      </c>
      <c r="C194" s="14" t="s">
        <v>50</v>
      </c>
      <c r="D194" s="14" t="s">
        <v>50</v>
      </c>
      <c r="E194" s="14" t="b">
        <v>0</v>
      </c>
      <c r="F194" s="14" t="b">
        <v>0</v>
      </c>
      <c r="G194" s="13" t="b">
        <v>1</v>
      </c>
      <c r="H194" s="14" t="s">
        <v>50</v>
      </c>
      <c r="I194" s="14" t="b">
        <v>0</v>
      </c>
      <c r="J194" s="14" t="b">
        <v>0</v>
      </c>
      <c r="K194" s="14" t="s">
        <v>50</v>
      </c>
    </row>
    <row r="195" spans="1:11" x14ac:dyDescent="0.3">
      <c r="A195" s="12" t="s">
        <v>10</v>
      </c>
      <c r="B195" s="17" t="b">
        <v>0</v>
      </c>
      <c r="C195" s="14" t="s">
        <v>50</v>
      </c>
      <c r="D195" s="14" t="b">
        <v>0</v>
      </c>
      <c r="E195" s="14" t="s">
        <v>50</v>
      </c>
      <c r="F195" s="14" t="s">
        <v>50</v>
      </c>
      <c r="G195" s="13" t="b">
        <v>1</v>
      </c>
      <c r="H195" s="14" t="b">
        <v>0</v>
      </c>
      <c r="I195" s="14" t="s">
        <v>50</v>
      </c>
      <c r="J195" s="14" t="s">
        <v>50</v>
      </c>
      <c r="K195" s="14" t="b">
        <v>0</v>
      </c>
    </row>
    <row r="196" spans="1:11" x14ac:dyDescent="0.3">
      <c r="A196" s="12" t="s">
        <v>11</v>
      </c>
      <c r="B196" s="13" t="b">
        <v>1</v>
      </c>
      <c r="C196" s="14" t="s">
        <v>50</v>
      </c>
      <c r="D196" s="14" t="s">
        <v>50</v>
      </c>
      <c r="E196" s="14" t="b">
        <v>0</v>
      </c>
      <c r="F196" s="14" t="s">
        <v>50</v>
      </c>
      <c r="G196" s="13" t="b">
        <v>1</v>
      </c>
      <c r="H196" s="14" t="s">
        <v>50</v>
      </c>
      <c r="I196" s="14" t="b">
        <v>0</v>
      </c>
      <c r="J196" s="14" t="b">
        <v>0</v>
      </c>
      <c r="K196" s="14" t="s">
        <v>50</v>
      </c>
    </row>
    <row r="197" spans="1:11" x14ac:dyDescent="0.3">
      <c r="A197" s="12" t="s">
        <v>12</v>
      </c>
      <c r="B197" s="17" t="b">
        <v>0</v>
      </c>
      <c r="C197" s="14" t="s">
        <v>50</v>
      </c>
      <c r="D197" s="14" t="b">
        <v>0</v>
      </c>
      <c r="E197" s="14" t="b">
        <v>0</v>
      </c>
      <c r="F197" s="14" t="b">
        <v>0</v>
      </c>
      <c r="G197" s="13" t="b">
        <v>1</v>
      </c>
      <c r="H197" s="14" t="b">
        <v>0</v>
      </c>
      <c r="I197" s="14" t="b">
        <v>0</v>
      </c>
      <c r="J197" s="14" t="s">
        <v>50</v>
      </c>
      <c r="K197" s="14" t="s">
        <v>50</v>
      </c>
    </row>
    <row r="198" spans="1:11" x14ac:dyDescent="0.3">
      <c r="A198" s="12" t="s">
        <v>13</v>
      </c>
      <c r="B198" s="17" t="b">
        <v>0</v>
      </c>
      <c r="C198" s="14" t="s">
        <v>50</v>
      </c>
      <c r="D198" s="14" t="b">
        <v>0</v>
      </c>
      <c r="E198" s="14" t="b">
        <v>0</v>
      </c>
      <c r="F198" s="14" t="b">
        <v>0</v>
      </c>
      <c r="G198" s="13" t="b">
        <v>1</v>
      </c>
      <c r="H198" s="14" t="b">
        <v>0</v>
      </c>
      <c r="I198" s="14" t="b">
        <v>0</v>
      </c>
      <c r="J198" s="14" t="b">
        <v>0</v>
      </c>
      <c r="K198" s="14" t="s">
        <v>50</v>
      </c>
    </row>
    <row r="199" spans="1:11" x14ac:dyDescent="0.3">
      <c r="A199" s="12" t="s">
        <v>14</v>
      </c>
      <c r="B199" s="14" t="s">
        <v>50</v>
      </c>
      <c r="C199" s="14" t="b">
        <v>0</v>
      </c>
      <c r="D199" s="14" t="b">
        <v>0</v>
      </c>
      <c r="E199" s="14" t="b">
        <v>0</v>
      </c>
      <c r="F199" s="14" t="b">
        <v>0</v>
      </c>
      <c r="G199" s="13" t="b">
        <v>1</v>
      </c>
      <c r="H199" s="14" t="s">
        <v>50</v>
      </c>
      <c r="I199" s="14" t="b">
        <v>0</v>
      </c>
      <c r="J199" s="14" t="b">
        <v>0</v>
      </c>
      <c r="K199" s="14" t="s">
        <v>50</v>
      </c>
    </row>
    <row r="200" spans="1:11" x14ac:dyDescent="0.3">
      <c r="A200" s="12" t="s">
        <v>15</v>
      </c>
      <c r="B200" s="13" t="b">
        <v>1</v>
      </c>
      <c r="C200" s="14" t="b">
        <v>0</v>
      </c>
      <c r="D200" s="13" t="b">
        <v>1</v>
      </c>
      <c r="E200" s="14" t="s">
        <v>50</v>
      </c>
      <c r="F200" s="14" t="b">
        <v>0</v>
      </c>
      <c r="G200" s="13" t="b">
        <v>1</v>
      </c>
      <c r="H200" s="14" t="b">
        <v>0</v>
      </c>
      <c r="I200" s="14" t="b">
        <v>0</v>
      </c>
      <c r="J200" s="14" t="s">
        <v>50</v>
      </c>
      <c r="K200" s="14" t="s">
        <v>50</v>
      </c>
    </row>
    <row r="201" spans="1:11" x14ac:dyDescent="0.3">
      <c r="A201" s="12" t="s">
        <v>16</v>
      </c>
      <c r="B201" s="13" t="b">
        <v>1</v>
      </c>
      <c r="C201" s="14" t="s">
        <v>50</v>
      </c>
      <c r="D201" s="14" t="b">
        <v>0</v>
      </c>
      <c r="E201" s="14" t="b">
        <v>0</v>
      </c>
      <c r="F201" s="14" t="b">
        <v>0</v>
      </c>
      <c r="G201" s="13" t="b">
        <v>1</v>
      </c>
      <c r="H201" s="14" t="s">
        <v>50</v>
      </c>
      <c r="I201" s="14" t="b">
        <v>0</v>
      </c>
      <c r="J201" s="14" t="b">
        <v>0</v>
      </c>
      <c r="K201" s="14" t="b">
        <v>0</v>
      </c>
    </row>
    <row r="202" spans="1:11" x14ac:dyDescent="0.3">
      <c r="A202" s="12" t="s">
        <v>51</v>
      </c>
      <c r="B202" s="12">
        <f t="shared" ref="B202:K202" si="12">SUMIFS($M$3:$M$14,B190:B201,"TRUE")</f>
        <v>3163</v>
      </c>
      <c r="C202" s="12">
        <f t="shared" si="12"/>
        <v>0</v>
      </c>
      <c r="D202" s="12">
        <f t="shared" si="12"/>
        <v>1024</v>
      </c>
      <c r="E202" s="12">
        <f t="shared" si="12"/>
        <v>0</v>
      </c>
      <c r="F202" s="12">
        <f t="shared" si="12"/>
        <v>0</v>
      </c>
      <c r="G202" s="12">
        <f t="shared" si="12"/>
        <v>4095</v>
      </c>
      <c r="H202" s="12">
        <f t="shared" si="12"/>
        <v>0</v>
      </c>
      <c r="I202" s="12">
        <f t="shared" si="12"/>
        <v>0</v>
      </c>
      <c r="J202" s="12">
        <f t="shared" si="12"/>
        <v>0</v>
      </c>
      <c r="K202" s="12">
        <f t="shared" si="12"/>
        <v>0</v>
      </c>
    </row>
    <row r="204" spans="1:11" x14ac:dyDescent="0.3">
      <c r="A204" s="15" t="s">
        <v>64</v>
      </c>
      <c r="B204" s="9"/>
      <c r="C204" s="9"/>
      <c r="D204" s="9"/>
      <c r="E204" s="9"/>
      <c r="F204" s="9"/>
      <c r="G204" s="9"/>
      <c r="H204" s="9"/>
      <c r="I204" s="9"/>
      <c r="J204" s="9"/>
      <c r="K204" s="10"/>
    </row>
    <row r="205" spans="1:11" x14ac:dyDescent="0.3">
      <c r="A205" s="16" t="s">
        <v>53</v>
      </c>
      <c r="B205" s="12">
        <v>1</v>
      </c>
      <c r="C205" s="12">
        <v>2</v>
      </c>
      <c r="D205" s="12">
        <v>4</v>
      </c>
      <c r="E205" s="12">
        <v>8</v>
      </c>
      <c r="F205" s="12">
        <v>16</v>
      </c>
      <c r="G205" s="12">
        <v>32</v>
      </c>
      <c r="H205" s="12">
        <v>64</v>
      </c>
      <c r="I205" s="12">
        <v>128</v>
      </c>
      <c r="J205" s="12">
        <v>256</v>
      </c>
      <c r="K205" s="12">
        <v>1024</v>
      </c>
    </row>
    <row r="206" spans="1:11" x14ac:dyDescent="0.3">
      <c r="A206" s="12" t="s">
        <v>0</v>
      </c>
      <c r="B206" s="12" t="s">
        <v>18</v>
      </c>
      <c r="C206" s="12" t="s">
        <v>19</v>
      </c>
      <c r="D206" s="12" t="s">
        <v>20</v>
      </c>
      <c r="E206" s="12" t="s">
        <v>21</v>
      </c>
      <c r="F206" s="12" t="s">
        <v>22</v>
      </c>
      <c r="G206" s="12" t="s">
        <v>23</v>
      </c>
      <c r="H206" s="12" t="s">
        <v>24</v>
      </c>
      <c r="I206" s="12" t="s">
        <v>25</v>
      </c>
      <c r="J206" s="12" t="s">
        <v>26</v>
      </c>
      <c r="K206" s="12" t="s">
        <v>27</v>
      </c>
    </row>
    <row r="207" spans="1:11" x14ac:dyDescent="0.3">
      <c r="A207" s="12" t="s">
        <v>4</v>
      </c>
      <c r="B207" s="17" t="b">
        <v>0</v>
      </c>
      <c r="C207" s="14" t="b">
        <v>0</v>
      </c>
      <c r="D207" s="14" t="s">
        <v>50</v>
      </c>
      <c r="E207" s="13" t="b">
        <v>1</v>
      </c>
      <c r="F207" s="14" t="b">
        <v>0</v>
      </c>
      <c r="G207" s="14" t="b">
        <v>0</v>
      </c>
      <c r="H207" s="14" t="s">
        <v>50</v>
      </c>
      <c r="I207" s="14" t="b">
        <v>0</v>
      </c>
      <c r="J207" s="14" t="b">
        <v>0</v>
      </c>
      <c r="K207" s="14" t="s">
        <v>50</v>
      </c>
    </row>
    <row r="208" spans="1:11" x14ac:dyDescent="0.3">
      <c r="A208" s="12" t="s">
        <v>6</v>
      </c>
      <c r="B208" s="17" t="b">
        <v>0</v>
      </c>
      <c r="C208" s="14" t="s">
        <v>50</v>
      </c>
      <c r="D208" s="14" t="b">
        <v>0</v>
      </c>
      <c r="E208" s="13" t="b">
        <v>1</v>
      </c>
      <c r="F208" s="14" t="s">
        <v>50</v>
      </c>
      <c r="G208" s="14" t="b">
        <v>0</v>
      </c>
      <c r="H208" s="14" t="b">
        <v>0</v>
      </c>
      <c r="I208" s="14" t="s">
        <v>50</v>
      </c>
      <c r="J208" s="14" t="b">
        <v>0</v>
      </c>
      <c r="K208" s="14" t="s">
        <v>50</v>
      </c>
    </row>
    <row r="209" spans="1:11" x14ac:dyDescent="0.3">
      <c r="A209" s="12" t="s">
        <v>7</v>
      </c>
      <c r="B209" s="17" t="b">
        <v>0</v>
      </c>
      <c r="C209" s="14" t="b">
        <v>0</v>
      </c>
      <c r="D209" s="14" t="b">
        <v>0</v>
      </c>
      <c r="E209" s="13" t="b">
        <v>1</v>
      </c>
      <c r="F209" s="14" t="b">
        <v>0</v>
      </c>
      <c r="G209" s="14" t="b">
        <v>0</v>
      </c>
      <c r="H209" s="14" t="s">
        <v>50</v>
      </c>
      <c r="I209" s="14" t="s">
        <v>50</v>
      </c>
      <c r="J209" s="14" t="s">
        <v>50</v>
      </c>
      <c r="K209" s="14" t="s">
        <v>50</v>
      </c>
    </row>
    <row r="210" spans="1:11" x14ac:dyDescent="0.3">
      <c r="A210" s="12" t="s">
        <v>8</v>
      </c>
      <c r="B210" s="17" t="b">
        <v>0</v>
      </c>
      <c r="C210" s="14" t="s">
        <v>50</v>
      </c>
      <c r="D210" s="14" t="b">
        <v>0</v>
      </c>
      <c r="E210" s="13" t="b">
        <v>1</v>
      </c>
      <c r="F210" s="14" t="b">
        <v>0</v>
      </c>
      <c r="G210" s="14" t="b">
        <v>0</v>
      </c>
      <c r="H210" s="14" t="s">
        <v>50</v>
      </c>
      <c r="I210" s="14" t="s">
        <v>50</v>
      </c>
      <c r="J210" s="14" t="s">
        <v>50</v>
      </c>
      <c r="K210" s="14" t="b">
        <v>0</v>
      </c>
    </row>
    <row r="211" spans="1:11" x14ac:dyDescent="0.3">
      <c r="A211" s="12" t="s">
        <v>9</v>
      </c>
      <c r="B211" s="17" t="b">
        <v>0</v>
      </c>
      <c r="C211" s="14" t="s">
        <v>50</v>
      </c>
      <c r="D211" s="14" t="s">
        <v>50</v>
      </c>
      <c r="E211" s="13" t="b">
        <v>1</v>
      </c>
      <c r="F211" s="14" t="b">
        <v>0</v>
      </c>
      <c r="G211" s="14" t="b">
        <v>0</v>
      </c>
      <c r="H211" s="14" t="s">
        <v>50</v>
      </c>
      <c r="I211" s="14" t="b">
        <v>0</v>
      </c>
      <c r="J211" s="14" t="b">
        <v>0</v>
      </c>
      <c r="K211" s="14" t="s">
        <v>50</v>
      </c>
    </row>
    <row r="212" spans="1:11" x14ac:dyDescent="0.3">
      <c r="A212" s="12" t="s">
        <v>10</v>
      </c>
      <c r="B212" s="17" t="b">
        <v>0</v>
      </c>
      <c r="C212" s="14" t="s">
        <v>50</v>
      </c>
      <c r="D212" s="14" t="b">
        <v>0</v>
      </c>
      <c r="E212" s="14" t="s">
        <v>50</v>
      </c>
      <c r="F212" s="14" t="s">
        <v>50</v>
      </c>
      <c r="G212" s="14" t="b">
        <v>0</v>
      </c>
      <c r="H212" s="14" t="b">
        <v>0</v>
      </c>
      <c r="I212" s="14" t="s">
        <v>50</v>
      </c>
      <c r="J212" s="14" t="s">
        <v>50</v>
      </c>
      <c r="K212" s="14" t="b">
        <v>0</v>
      </c>
    </row>
    <row r="213" spans="1:11" x14ac:dyDescent="0.3">
      <c r="A213" s="12" t="s">
        <v>11</v>
      </c>
      <c r="B213" s="17" t="b">
        <v>0</v>
      </c>
      <c r="C213" s="14" t="s">
        <v>50</v>
      </c>
      <c r="D213" s="14" t="s">
        <v>50</v>
      </c>
      <c r="E213" s="13" t="b">
        <v>1</v>
      </c>
      <c r="F213" s="14" t="s">
        <v>50</v>
      </c>
      <c r="G213" s="14" t="b">
        <v>0</v>
      </c>
      <c r="H213" s="14" t="s">
        <v>50</v>
      </c>
      <c r="I213" s="14" t="b">
        <v>0</v>
      </c>
      <c r="J213" s="14" t="b">
        <v>0</v>
      </c>
      <c r="K213" s="14" t="s">
        <v>50</v>
      </c>
    </row>
    <row r="214" spans="1:11" x14ac:dyDescent="0.3">
      <c r="A214" s="12" t="s">
        <v>12</v>
      </c>
      <c r="B214" s="13" t="b">
        <v>1</v>
      </c>
      <c r="C214" s="14" t="s">
        <v>50</v>
      </c>
      <c r="D214" s="14" t="b">
        <v>0</v>
      </c>
      <c r="E214" s="13" t="b">
        <v>1</v>
      </c>
      <c r="F214" s="14" t="b">
        <v>0</v>
      </c>
      <c r="G214" s="14" t="b">
        <v>0</v>
      </c>
      <c r="H214" s="14" t="b">
        <v>0</v>
      </c>
      <c r="I214" s="14" t="b">
        <v>0</v>
      </c>
      <c r="J214" s="14" t="s">
        <v>50</v>
      </c>
      <c r="K214" s="14" t="s">
        <v>50</v>
      </c>
    </row>
    <row r="215" spans="1:11" x14ac:dyDescent="0.3">
      <c r="A215" s="12" t="s">
        <v>13</v>
      </c>
      <c r="B215" s="17" t="b">
        <v>0</v>
      </c>
      <c r="C215" s="14" t="s">
        <v>50</v>
      </c>
      <c r="D215" s="14" t="b">
        <v>0</v>
      </c>
      <c r="E215" s="13" t="b">
        <v>1</v>
      </c>
      <c r="F215" s="14" t="b">
        <v>0</v>
      </c>
      <c r="G215" s="14" t="b">
        <v>0</v>
      </c>
      <c r="H215" s="14" t="b">
        <v>0</v>
      </c>
      <c r="I215" s="14" t="b">
        <v>0</v>
      </c>
      <c r="J215" s="14" t="b">
        <v>0</v>
      </c>
      <c r="K215" s="14" t="s">
        <v>50</v>
      </c>
    </row>
    <row r="216" spans="1:11" x14ac:dyDescent="0.3">
      <c r="A216" s="12" t="s">
        <v>14</v>
      </c>
      <c r="B216" s="14" t="s">
        <v>50</v>
      </c>
      <c r="C216" s="14" t="b">
        <v>0</v>
      </c>
      <c r="D216" s="14" t="b">
        <v>0</v>
      </c>
      <c r="E216" s="13" t="b">
        <v>1</v>
      </c>
      <c r="F216" s="14" t="b">
        <v>0</v>
      </c>
      <c r="G216" s="14" t="b">
        <v>0</v>
      </c>
      <c r="H216" s="14" t="s">
        <v>50</v>
      </c>
      <c r="I216" s="14" t="b">
        <v>0</v>
      </c>
      <c r="J216" s="14" t="b">
        <v>0</v>
      </c>
      <c r="K216" s="14" t="s">
        <v>50</v>
      </c>
    </row>
    <row r="217" spans="1:11" x14ac:dyDescent="0.3">
      <c r="A217" s="12" t="s">
        <v>15</v>
      </c>
      <c r="B217" s="17" t="b">
        <v>0</v>
      </c>
      <c r="C217" s="14" t="b">
        <v>0</v>
      </c>
      <c r="D217" s="14" t="b">
        <v>0</v>
      </c>
      <c r="E217" s="14" t="s">
        <v>50</v>
      </c>
      <c r="F217" s="14" t="b">
        <v>0</v>
      </c>
      <c r="G217" s="14" t="b">
        <v>0</v>
      </c>
      <c r="H217" s="14" t="b">
        <v>0</v>
      </c>
      <c r="I217" s="14" t="b">
        <v>0</v>
      </c>
      <c r="J217" s="14" t="s">
        <v>50</v>
      </c>
      <c r="K217" s="14" t="s">
        <v>50</v>
      </c>
    </row>
    <row r="218" spans="1:11" x14ac:dyDescent="0.3">
      <c r="A218" s="12" t="s">
        <v>16</v>
      </c>
      <c r="B218" s="17" t="b">
        <v>0</v>
      </c>
      <c r="C218" s="14" t="s">
        <v>50</v>
      </c>
      <c r="D218" s="14" t="b">
        <v>0</v>
      </c>
      <c r="E218" s="13" t="b">
        <v>1</v>
      </c>
      <c r="F218" s="14" t="b">
        <v>0</v>
      </c>
      <c r="G218" s="14" t="b">
        <v>0</v>
      </c>
      <c r="H218" s="14" t="s">
        <v>50</v>
      </c>
      <c r="I218" s="14" t="b">
        <v>0</v>
      </c>
      <c r="J218" s="14" t="b">
        <v>0</v>
      </c>
      <c r="K218" s="14" t="b">
        <v>0</v>
      </c>
    </row>
    <row r="219" spans="1:11" x14ac:dyDescent="0.3">
      <c r="A219" s="12" t="s">
        <v>51</v>
      </c>
      <c r="B219" s="12">
        <f t="shared" ref="B219:K219" si="13">SUMIFS($M$3:$M$14,B207:B218,"TRUE")</f>
        <v>128</v>
      </c>
      <c r="C219" s="12">
        <f t="shared" si="13"/>
        <v>0</v>
      </c>
      <c r="D219" s="12">
        <f t="shared" si="13"/>
        <v>0</v>
      </c>
      <c r="E219" s="12">
        <f t="shared" si="13"/>
        <v>3039</v>
      </c>
      <c r="F219" s="12">
        <f t="shared" si="13"/>
        <v>0</v>
      </c>
      <c r="G219" s="12">
        <f t="shared" si="13"/>
        <v>0</v>
      </c>
      <c r="H219" s="12">
        <f t="shared" si="13"/>
        <v>0</v>
      </c>
      <c r="I219" s="12">
        <f t="shared" si="13"/>
        <v>0</v>
      </c>
      <c r="J219" s="12">
        <f t="shared" si="13"/>
        <v>0</v>
      </c>
      <c r="K219" s="12">
        <f t="shared" si="13"/>
        <v>0</v>
      </c>
    </row>
    <row r="221" spans="1:11" x14ac:dyDescent="0.3">
      <c r="A221" s="15" t="s">
        <v>65</v>
      </c>
      <c r="B221" s="9"/>
      <c r="C221" s="9"/>
      <c r="D221" s="9"/>
      <c r="E221" s="9"/>
      <c r="F221" s="9"/>
      <c r="G221" s="9"/>
      <c r="H221" s="9"/>
      <c r="I221" s="9"/>
      <c r="J221" s="9"/>
      <c r="K221" s="10"/>
    </row>
    <row r="222" spans="1:11" x14ac:dyDescent="0.3">
      <c r="A222" s="16" t="s">
        <v>53</v>
      </c>
      <c r="B222" s="12">
        <v>1</v>
      </c>
      <c r="C222" s="12">
        <v>2</v>
      </c>
      <c r="D222" s="12">
        <v>4</v>
      </c>
      <c r="E222" s="12">
        <v>8</v>
      </c>
      <c r="F222" s="12">
        <v>16</v>
      </c>
      <c r="G222" s="12">
        <v>32</v>
      </c>
      <c r="H222" s="12">
        <v>64</v>
      </c>
      <c r="I222" s="12">
        <v>128</v>
      </c>
      <c r="J222" s="12">
        <v>256</v>
      </c>
      <c r="K222" s="12">
        <v>1024</v>
      </c>
    </row>
    <row r="223" spans="1:11" x14ac:dyDescent="0.3">
      <c r="A223" s="12" t="s">
        <v>0</v>
      </c>
      <c r="B223" s="12" t="s">
        <v>18</v>
      </c>
      <c r="C223" s="12" t="s">
        <v>19</v>
      </c>
      <c r="D223" s="12" t="s">
        <v>20</v>
      </c>
      <c r="E223" s="12" t="s">
        <v>21</v>
      </c>
      <c r="F223" s="12" t="s">
        <v>22</v>
      </c>
      <c r="G223" s="12" t="s">
        <v>23</v>
      </c>
      <c r="H223" s="12" t="s">
        <v>24</v>
      </c>
      <c r="I223" s="12" t="s">
        <v>25</v>
      </c>
      <c r="J223" s="12" t="s">
        <v>26</v>
      </c>
      <c r="K223" s="12" t="s">
        <v>27</v>
      </c>
    </row>
    <row r="224" spans="1:11" x14ac:dyDescent="0.3">
      <c r="A224" s="12" t="s">
        <v>4</v>
      </c>
      <c r="B224" s="14" t="b">
        <v>0</v>
      </c>
      <c r="C224" s="14" t="b">
        <v>0</v>
      </c>
      <c r="D224" s="14" t="s">
        <v>50</v>
      </c>
      <c r="E224" s="14" t="b">
        <v>0</v>
      </c>
      <c r="F224" s="14" t="b">
        <v>0</v>
      </c>
      <c r="G224" s="13" t="b">
        <v>1</v>
      </c>
      <c r="H224" s="14" t="s">
        <v>50</v>
      </c>
      <c r="I224" s="14" t="b">
        <v>0</v>
      </c>
      <c r="J224" s="14" t="b">
        <v>0</v>
      </c>
      <c r="K224" s="14" t="s">
        <v>50</v>
      </c>
    </row>
    <row r="225" spans="1:11" x14ac:dyDescent="0.3">
      <c r="A225" s="12" t="s">
        <v>6</v>
      </c>
      <c r="B225" s="13" t="b">
        <v>1</v>
      </c>
      <c r="C225" s="14" t="s">
        <v>50</v>
      </c>
      <c r="D225" s="14" t="b">
        <v>0</v>
      </c>
      <c r="E225" s="14" t="b">
        <v>0</v>
      </c>
      <c r="F225" s="14" t="s">
        <v>50</v>
      </c>
      <c r="G225" s="13" t="b">
        <v>1</v>
      </c>
      <c r="H225" s="14" t="b">
        <v>0</v>
      </c>
      <c r="I225" s="14" t="s">
        <v>50</v>
      </c>
      <c r="J225" s="14" t="b">
        <v>0</v>
      </c>
      <c r="K225" s="14" t="s">
        <v>50</v>
      </c>
    </row>
    <row r="226" spans="1:11" x14ac:dyDescent="0.3">
      <c r="A226" s="12" t="s">
        <v>7</v>
      </c>
      <c r="B226" s="13" t="b">
        <v>1</v>
      </c>
      <c r="C226" s="14" t="b">
        <v>0</v>
      </c>
      <c r="D226" s="14" t="b">
        <v>0</v>
      </c>
      <c r="E226" s="14" t="b">
        <v>0</v>
      </c>
      <c r="F226" s="14" t="b">
        <v>0</v>
      </c>
      <c r="G226" s="13" t="b">
        <v>1</v>
      </c>
      <c r="H226" s="14" t="s">
        <v>50</v>
      </c>
      <c r="I226" s="14" t="s">
        <v>50</v>
      </c>
      <c r="J226" s="14" t="s">
        <v>50</v>
      </c>
      <c r="K226" s="14" t="s">
        <v>50</v>
      </c>
    </row>
    <row r="227" spans="1:11" x14ac:dyDescent="0.3">
      <c r="A227" s="12" t="s">
        <v>8</v>
      </c>
      <c r="B227" s="14" t="b">
        <v>0</v>
      </c>
      <c r="C227" s="14" t="s">
        <v>50</v>
      </c>
      <c r="D227" s="14" t="b">
        <v>0</v>
      </c>
      <c r="E227" s="14" t="b">
        <v>0</v>
      </c>
      <c r="F227" s="14" t="b">
        <v>0</v>
      </c>
      <c r="G227" s="13" t="b">
        <v>1</v>
      </c>
      <c r="H227" s="14" t="s">
        <v>50</v>
      </c>
      <c r="I227" s="14" t="s">
        <v>50</v>
      </c>
      <c r="J227" s="14" t="s">
        <v>50</v>
      </c>
      <c r="K227" s="14" t="b">
        <v>0</v>
      </c>
    </row>
    <row r="228" spans="1:11" x14ac:dyDescent="0.3">
      <c r="A228" s="12" t="s">
        <v>9</v>
      </c>
      <c r="B228" s="14" t="b">
        <v>0</v>
      </c>
      <c r="C228" s="14" t="s">
        <v>50</v>
      </c>
      <c r="D228" s="14" t="s">
        <v>50</v>
      </c>
      <c r="E228" s="14" t="b">
        <v>0</v>
      </c>
      <c r="F228" s="14" t="b">
        <v>0</v>
      </c>
      <c r="G228" s="13" t="b">
        <v>1</v>
      </c>
      <c r="H228" s="14" t="s">
        <v>50</v>
      </c>
      <c r="I228" s="14" t="b">
        <v>0</v>
      </c>
      <c r="J228" s="14" t="b">
        <v>0</v>
      </c>
      <c r="K228" s="14" t="s">
        <v>50</v>
      </c>
    </row>
    <row r="229" spans="1:11" x14ac:dyDescent="0.3">
      <c r="A229" s="12" t="s">
        <v>10</v>
      </c>
      <c r="B229" s="14" t="b">
        <v>0</v>
      </c>
      <c r="C229" s="14" t="s">
        <v>50</v>
      </c>
      <c r="D229" s="14" t="b">
        <v>0</v>
      </c>
      <c r="E229" s="14" t="s">
        <v>50</v>
      </c>
      <c r="F229" s="14" t="s">
        <v>50</v>
      </c>
      <c r="G229" s="13" t="b">
        <v>1</v>
      </c>
      <c r="H229" s="14" t="b">
        <v>0</v>
      </c>
      <c r="I229" s="14" t="s">
        <v>50</v>
      </c>
      <c r="J229" s="14" t="s">
        <v>50</v>
      </c>
      <c r="K229" s="14" t="b">
        <v>0</v>
      </c>
    </row>
    <row r="230" spans="1:11" x14ac:dyDescent="0.3">
      <c r="A230" s="12" t="s">
        <v>11</v>
      </c>
      <c r="B230" s="14" t="b">
        <v>0</v>
      </c>
      <c r="C230" s="14" t="s">
        <v>50</v>
      </c>
      <c r="D230" s="14" t="s">
        <v>50</v>
      </c>
      <c r="E230" s="14" t="b">
        <v>0</v>
      </c>
      <c r="F230" s="14" t="s">
        <v>50</v>
      </c>
      <c r="G230" s="13" t="b">
        <v>1</v>
      </c>
      <c r="H230" s="14" t="s">
        <v>50</v>
      </c>
      <c r="I230" s="14" t="b">
        <v>0</v>
      </c>
      <c r="J230" s="14" t="b">
        <v>0</v>
      </c>
      <c r="K230" s="14" t="s">
        <v>50</v>
      </c>
    </row>
    <row r="231" spans="1:11" x14ac:dyDescent="0.3">
      <c r="A231" s="12" t="s">
        <v>12</v>
      </c>
      <c r="B231" s="14" t="b">
        <v>0</v>
      </c>
      <c r="C231" s="14" t="s">
        <v>50</v>
      </c>
      <c r="D231" s="14" t="b">
        <v>0</v>
      </c>
      <c r="E231" s="14" t="b">
        <v>0</v>
      </c>
      <c r="F231" s="14" t="b">
        <v>0</v>
      </c>
      <c r="G231" s="13" t="b">
        <v>1</v>
      </c>
      <c r="H231" s="14" t="b">
        <v>0</v>
      </c>
      <c r="I231" s="14" t="b">
        <v>0</v>
      </c>
      <c r="J231" s="14" t="s">
        <v>50</v>
      </c>
      <c r="K231" s="14" t="s">
        <v>50</v>
      </c>
    </row>
    <row r="232" spans="1:11" x14ac:dyDescent="0.3">
      <c r="A232" s="12" t="s">
        <v>13</v>
      </c>
      <c r="B232" s="14" t="b">
        <v>0</v>
      </c>
      <c r="C232" s="14" t="s">
        <v>50</v>
      </c>
      <c r="D232" s="14" t="b">
        <v>0</v>
      </c>
      <c r="E232" s="14" t="b">
        <v>0</v>
      </c>
      <c r="F232" s="14" t="b">
        <v>0</v>
      </c>
      <c r="G232" s="13" t="b">
        <v>1</v>
      </c>
      <c r="H232" s="14" t="b">
        <v>0</v>
      </c>
      <c r="I232" s="14" t="b">
        <v>0</v>
      </c>
      <c r="J232" s="14" t="b">
        <v>0</v>
      </c>
      <c r="K232" s="14" t="s">
        <v>50</v>
      </c>
    </row>
    <row r="233" spans="1:11" x14ac:dyDescent="0.3">
      <c r="A233" s="12" t="s">
        <v>14</v>
      </c>
      <c r="B233" s="14" t="s">
        <v>50</v>
      </c>
      <c r="C233" s="14" t="b">
        <v>0</v>
      </c>
      <c r="D233" s="14" t="b">
        <v>0</v>
      </c>
      <c r="E233" s="14" t="b">
        <v>0</v>
      </c>
      <c r="F233" s="14" t="b">
        <v>0</v>
      </c>
      <c r="G233" s="13" t="b">
        <v>1</v>
      </c>
      <c r="H233" s="14" t="s">
        <v>50</v>
      </c>
      <c r="I233" s="14" t="b">
        <v>0</v>
      </c>
      <c r="J233" s="14" t="b">
        <v>0</v>
      </c>
      <c r="K233" s="14" t="s">
        <v>50</v>
      </c>
    </row>
    <row r="234" spans="1:11" x14ac:dyDescent="0.3">
      <c r="A234" s="12" t="s">
        <v>15</v>
      </c>
      <c r="B234" s="14" t="b">
        <v>0</v>
      </c>
      <c r="C234" s="14" t="b">
        <v>0</v>
      </c>
      <c r="D234" s="14" t="b">
        <v>0</v>
      </c>
      <c r="E234" s="14" t="s">
        <v>50</v>
      </c>
      <c r="F234" s="14" t="b">
        <v>0</v>
      </c>
      <c r="G234" s="13" t="b">
        <v>1</v>
      </c>
      <c r="H234" s="14" t="b">
        <v>0</v>
      </c>
      <c r="I234" s="14" t="b">
        <v>0</v>
      </c>
      <c r="J234" s="14" t="s">
        <v>50</v>
      </c>
      <c r="K234" s="14" t="s">
        <v>50</v>
      </c>
    </row>
    <row r="235" spans="1:11" x14ac:dyDescent="0.3">
      <c r="A235" s="12" t="s">
        <v>16</v>
      </c>
      <c r="B235" s="14" t="b">
        <v>0</v>
      </c>
      <c r="C235" s="14" t="s">
        <v>50</v>
      </c>
      <c r="D235" s="14" t="b">
        <v>0</v>
      </c>
      <c r="E235" s="14" t="b">
        <v>0</v>
      </c>
      <c r="F235" s="14" t="b">
        <v>0</v>
      </c>
      <c r="G235" s="13" t="b">
        <v>1</v>
      </c>
      <c r="H235" s="14" t="s">
        <v>50</v>
      </c>
      <c r="I235" s="14" t="b">
        <v>0</v>
      </c>
      <c r="J235" s="14" t="b">
        <v>0</v>
      </c>
      <c r="K235" s="14" t="b">
        <v>0</v>
      </c>
    </row>
    <row r="236" spans="1:11" x14ac:dyDescent="0.3">
      <c r="A236" s="12" t="s">
        <v>51</v>
      </c>
      <c r="B236" s="12">
        <f t="shared" ref="B236:K236" si="14">SUMIFS($M$3:$M$14,B224:B235,"TRUE")</f>
        <v>6</v>
      </c>
      <c r="C236" s="12">
        <f t="shared" si="14"/>
        <v>0</v>
      </c>
      <c r="D236" s="12">
        <f t="shared" si="14"/>
        <v>0</v>
      </c>
      <c r="E236" s="12">
        <f t="shared" si="14"/>
        <v>0</v>
      </c>
      <c r="F236" s="12">
        <f t="shared" si="14"/>
        <v>0</v>
      </c>
      <c r="G236" s="12">
        <f t="shared" si="14"/>
        <v>4095</v>
      </c>
      <c r="H236" s="12">
        <f t="shared" si="14"/>
        <v>0</v>
      </c>
      <c r="I236" s="12">
        <f t="shared" si="14"/>
        <v>0</v>
      </c>
      <c r="J236" s="12">
        <f t="shared" si="14"/>
        <v>0</v>
      </c>
      <c r="K236" s="12">
        <f t="shared" si="14"/>
        <v>0</v>
      </c>
    </row>
    <row r="238" spans="1:11" x14ac:dyDescent="0.3">
      <c r="A238" s="15" t="s">
        <v>66</v>
      </c>
      <c r="B238" s="9"/>
      <c r="C238" s="9"/>
      <c r="D238" s="9"/>
      <c r="E238" s="9"/>
      <c r="F238" s="9"/>
      <c r="G238" s="9"/>
      <c r="H238" s="9"/>
      <c r="I238" s="9"/>
      <c r="J238" s="9"/>
      <c r="K238" s="10"/>
    </row>
    <row r="239" spans="1:11" x14ac:dyDescent="0.3">
      <c r="A239" s="16" t="s">
        <v>53</v>
      </c>
      <c r="B239" s="12">
        <v>1</v>
      </c>
      <c r="C239" s="12">
        <v>2</v>
      </c>
      <c r="D239" s="12">
        <v>4</v>
      </c>
      <c r="E239" s="12">
        <v>8</v>
      </c>
      <c r="F239" s="12">
        <v>16</v>
      </c>
      <c r="G239" s="12">
        <v>32</v>
      </c>
      <c r="H239" s="12">
        <v>64</v>
      </c>
      <c r="I239" s="12">
        <v>128</v>
      </c>
      <c r="J239" s="12">
        <v>256</v>
      </c>
      <c r="K239" s="12">
        <v>1024</v>
      </c>
    </row>
    <row r="240" spans="1:11" x14ac:dyDescent="0.3">
      <c r="A240" s="12" t="s">
        <v>0</v>
      </c>
      <c r="B240" s="12" t="s">
        <v>18</v>
      </c>
      <c r="C240" s="12" t="s">
        <v>19</v>
      </c>
      <c r="D240" s="12" t="s">
        <v>20</v>
      </c>
      <c r="E240" s="12" t="s">
        <v>21</v>
      </c>
      <c r="F240" s="12" t="s">
        <v>22</v>
      </c>
      <c r="G240" s="12" t="s">
        <v>23</v>
      </c>
      <c r="H240" s="12" t="s">
        <v>24</v>
      </c>
      <c r="I240" s="12" t="s">
        <v>25</v>
      </c>
      <c r="J240" s="12" t="s">
        <v>26</v>
      </c>
      <c r="K240" s="12" t="s">
        <v>27</v>
      </c>
    </row>
    <row r="241" spans="1:11" x14ac:dyDescent="0.3">
      <c r="A241" s="12" t="s">
        <v>4</v>
      </c>
      <c r="B241" s="14" t="b">
        <v>0</v>
      </c>
      <c r="C241" s="13" t="b">
        <v>1</v>
      </c>
      <c r="D241" s="14" t="s">
        <v>50</v>
      </c>
      <c r="E241" s="14" t="b">
        <v>0</v>
      </c>
      <c r="F241" s="14" t="b">
        <v>0</v>
      </c>
      <c r="G241" s="14" t="b">
        <v>0</v>
      </c>
      <c r="H241" s="14" t="s">
        <v>50</v>
      </c>
      <c r="I241" s="14" t="b">
        <v>0</v>
      </c>
      <c r="J241" s="14" t="b">
        <v>0</v>
      </c>
      <c r="K241" s="14" t="s">
        <v>50</v>
      </c>
    </row>
    <row r="242" spans="1:11" x14ac:dyDescent="0.3">
      <c r="A242" s="12" t="s">
        <v>6</v>
      </c>
      <c r="B242" s="14" t="b">
        <v>0</v>
      </c>
      <c r="C242" s="14" t="s">
        <v>50</v>
      </c>
      <c r="D242" s="14" t="b">
        <v>0</v>
      </c>
      <c r="E242" s="14" t="b">
        <v>0</v>
      </c>
      <c r="F242" s="14" t="s">
        <v>50</v>
      </c>
      <c r="G242" s="14" t="b">
        <v>0</v>
      </c>
      <c r="H242" s="14" t="b">
        <v>0</v>
      </c>
      <c r="I242" s="14" t="s">
        <v>50</v>
      </c>
      <c r="J242" s="14" t="b">
        <v>0</v>
      </c>
      <c r="K242" s="14" t="s">
        <v>50</v>
      </c>
    </row>
    <row r="243" spans="1:11" x14ac:dyDescent="0.3">
      <c r="A243" s="12" t="s">
        <v>7</v>
      </c>
      <c r="B243" s="14" t="b">
        <v>0</v>
      </c>
      <c r="C243" s="13" t="b">
        <v>1</v>
      </c>
      <c r="D243" s="14" t="b">
        <v>0</v>
      </c>
      <c r="E243" s="14" t="b">
        <v>0</v>
      </c>
      <c r="F243" s="14" t="b">
        <v>0</v>
      </c>
      <c r="G243" s="14" t="b">
        <v>0</v>
      </c>
      <c r="H243" s="14" t="s">
        <v>50</v>
      </c>
      <c r="I243" s="14" t="s">
        <v>50</v>
      </c>
      <c r="J243" s="14" t="s">
        <v>50</v>
      </c>
      <c r="K243" s="14" t="s">
        <v>50</v>
      </c>
    </row>
    <row r="244" spans="1:11" x14ac:dyDescent="0.3">
      <c r="A244" s="12" t="s">
        <v>8</v>
      </c>
      <c r="B244" s="14" t="b">
        <v>0</v>
      </c>
      <c r="C244" s="14" t="s">
        <v>50</v>
      </c>
      <c r="D244" s="14" t="b">
        <v>0</v>
      </c>
      <c r="E244" s="14" t="b">
        <v>0</v>
      </c>
      <c r="F244" s="14" t="b">
        <v>0</v>
      </c>
      <c r="G244" s="14" t="b">
        <v>0</v>
      </c>
      <c r="H244" s="14" t="s">
        <v>50</v>
      </c>
      <c r="I244" s="14" t="s">
        <v>50</v>
      </c>
      <c r="J244" s="14" t="s">
        <v>50</v>
      </c>
      <c r="K244" s="14" t="b">
        <v>0</v>
      </c>
    </row>
    <row r="245" spans="1:11" x14ac:dyDescent="0.3">
      <c r="A245" s="12" t="s">
        <v>9</v>
      </c>
      <c r="B245" s="14" t="b">
        <v>0</v>
      </c>
      <c r="C245" s="14" t="s">
        <v>50</v>
      </c>
      <c r="D245" s="14" t="s">
        <v>50</v>
      </c>
      <c r="E245" s="14" t="b">
        <v>0</v>
      </c>
      <c r="F245" s="14" t="b">
        <v>0</v>
      </c>
      <c r="G245" s="14" t="b">
        <v>0</v>
      </c>
      <c r="H245" s="14" t="s">
        <v>50</v>
      </c>
      <c r="I245" s="14" t="b">
        <v>0</v>
      </c>
      <c r="J245" s="14" t="b">
        <v>0</v>
      </c>
      <c r="K245" s="14" t="s">
        <v>50</v>
      </c>
    </row>
    <row r="246" spans="1:11" x14ac:dyDescent="0.3">
      <c r="A246" s="12" t="s">
        <v>10</v>
      </c>
      <c r="B246" s="13" t="b">
        <v>1</v>
      </c>
      <c r="C246" s="14" t="s">
        <v>50</v>
      </c>
      <c r="D246" s="14" t="b">
        <v>0</v>
      </c>
      <c r="E246" s="14" t="s">
        <v>50</v>
      </c>
      <c r="F246" s="14" t="s">
        <v>50</v>
      </c>
      <c r="G246" s="14" t="b">
        <v>0</v>
      </c>
      <c r="H246" s="14" t="b">
        <v>0</v>
      </c>
      <c r="I246" s="14" t="s">
        <v>50</v>
      </c>
      <c r="J246" s="14" t="s">
        <v>50</v>
      </c>
      <c r="K246" s="14" t="b">
        <v>0</v>
      </c>
    </row>
    <row r="247" spans="1:11" x14ac:dyDescent="0.3">
      <c r="A247" s="12" t="s">
        <v>11</v>
      </c>
      <c r="B247" s="14" t="b">
        <v>0</v>
      </c>
      <c r="C247" s="14" t="s">
        <v>50</v>
      </c>
      <c r="D247" s="14" t="s">
        <v>50</v>
      </c>
      <c r="E247" s="14" t="b">
        <v>0</v>
      </c>
      <c r="F247" s="14" t="s">
        <v>50</v>
      </c>
      <c r="G247" s="14" t="b">
        <v>0</v>
      </c>
      <c r="H247" s="14" t="s">
        <v>50</v>
      </c>
      <c r="I247" s="14" t="b">
        <v>0</v>
      </c>
      <c r="J247" s="14" t="b">
        <v>0</v>
      </c>
      <c r="K247" s="14" t="s">
        <v>50</v>
      </c>
    </row>
    <row r="248" spans="1:11" x14ac:dyDescent="0.3">
      <c r="A248" s="12" t="s">
        <v>12</v>
      </c>
      <c r="B248" s="14" t="b">
        <v>0</v>
      </c>
      <c r="C248" s="14" t="s">
        <v>50</v>
      </c>
      <c r="D248" s="14" t="b">
        <v>0</v>
      </c>
      <c r="E248" s="14" t="b">
        <v>0</v>
      </c>
      <c r="F248" s="14" t="b">
        <v>0</v>
      </c>
      <c r="G248" s="14" t="b">
        <v>0</v>
      </c>
      <c r="H248" s="14" t="b">
        <v>0</v>
      </c>
      <c r="I248" s="14" t="b">
        <v>0</v>
      </c>
      <c r="J248" s="14" t="s">
        <v>50</v>
      </c>
      <c r="K248" s="14" t="s">
        <v>50</v>
      </c>
    </row>
    <row r="249" spans="1:11" x14ac:dyDescent="0.3">
      <c r="A249" s="12" t="s">
        <v>13</v>
      </c>
      <c r="B249" s="13" t="b">
        <v>1</v>
      </c>
      <c r="C249" s="14" t="s">
        <v>50</v>
      </c>
      <c r="D249" s="14" t="b">
        <v>0</v>
      </c>
      <c r="E249" s="14" t="b">
        <v>0</v>
      </c>
      <c r="F249" s="14" t="b">
        <v>0</v>
      </c>
      <c r="G249" s="14" t="b">
        <v>0</v>
      </c>
      <c r="H249" s="14" t="b">
        <v>0</v>
      </c>
      <c r="I249" s="14" t="b">
        <v>0</v>
      </c>
      <c r="J249" s="14" t="b">
        <v>0</v>
      </c>
      <c r="K249" s="14" t="s">
        <v>50</v>
      </c>
    </row>
    <row r="250" spans="1:11" x14ac:dyDescent="0.3">
      <c r="A250" s="12" t="s">
        <v>14</v>
      </c>
      <c r="B250" s="14" t="s">
        <v>50</v>
      </c>
      <c r="C250" s="14" t="b">
        <v>0</v>
      </c>
      <c r="D250" s="14" t="b">
        <v>0</v>
      </c>
      <c r="E250" s="14" t="b">
        <v>0</v>
      </c>
      <c r="F250" s="14" t="b">
        <v>0</v>
      </c>
      <c r="G250" s="14" t="b">
        <v>0</v>
      </c>
      <c r="H250" s="14" t="s">
        <v>50</v>
      </c>
      <c r="I250" s="14" t="b">
        <v>0</v>
      </c>
      <c r="J250" s="14" t="b">
        <v>0</v>
      </c>
      <c r="K250" s="14" t="s">
        <v>50</v>
      </c>
    </row>
    <row r="251" spans="1:11" x14ac:dyDescent="0.3">
      <c r="A251" s="12" t="s">
        <v>15</v>
      </c>
      <c r="B251" s="14" t="b">
        <v>0</v>
      </c>
      <c r="C251" s="13" t="b">
        <v>1</v>
      </c>
      <c r="D251" s="14" t="b">
        <v>0</v>
      </c>
      <c r="E251" s="14" t="s">
        <v>50</v>
      </c>
      <c r="F251" s="14" t="b">
        <v>0</v>
      </c>
      <c r="G251" s="14" t="b">
        <v>0</v>
      </c>
      <c r="H251" s="14" t="b">
        <v>0</v>
      </c>
      <c r="I251" s="14" t="b">
        <v>0</v>
      </c>
      <c r="J251" s="14" t="s">
        <v>50</v>
      </c>
      <c r="K251" s="14" t="s">
        <v>50</v>
      </c>
    </row>
    <row r="252" spans="1:11" x14ac:dyDescent="0.3">
      <c r="A252" s="12" t="s">
        <v>16</v>
      </c>
      <c r="B252" s="14" t="b">
        <v>0</v>
      </c>
      <c r="C252" s="14" t="s">
        <v>50</v>
      </c>
      <c r="D252" s="14" t="b">
        <v>0</v>
      </c>
      <c r="E252" s="14" t="b">
        <v>0</v>
      </c>
      <c r="F252" s="14" t="b">
        <v>0</v>
      </c>
      <c r="G252" s="14" t="b">
        <v>0</v>
      </c>
      <c r="H252" s="14" t="s">
        <v>50</v>
      </c>
      <c r="I252" s="14" t="b">
        <v>0</v>
      </c>
      <c r="J252" s="14" t="b">
        <v>0</v>
      </c>
      <c r="K252" s="14" t="b">
        <v>0</v>
      </c>
    </row>
    <row r="253" spans="1:11" x14ac:dyDescent="0.3">
      <c r="A253" s="12" t="s">
        <v>51</v>
      </c>
      <c r="B253" s="12">
        <f t="shared" ref="B253:K253" si="15">SUMIFS($M$3:$M$14,B241:B252,"TRUE")</f>
        <v>288</v>
      </c>
      <c r="C253" s="12">
        <f t="shared" si="15"/>
        <v>1029</v>
      </c>
      <c r="D253" s="12">
        <f t="shared" si="15"/>
        <v>0</v>
      </c>
      <c r="E253" s="12">
        <f t="shared" si="15"/>
        <v>0</v>
      </c>
      <c r="F253" s="12">
        <f t="shared" si="15"/>
        <v>0</v>
      </c>
      <c r="G253" s="12">
        <f t="shared" si="15"/>
        <v>0</v>
      </c>
      <c r="H253" s="12">
        <f t="shared" si="15"/>
        <v>0</v>
      </c>
      <c r="I253" s="12">
        <f t="shared" si="15"/>
        <v>0</v>
      </c>
      <c r="J253" s="12">
        <f t="shared" si="15"/>
        <v>0</v>
      </c>
      <c r="K253" s="12">
        <f t="shared" si="15"/>
        <v>0</v>
      </c>
    </row>
    <row r="255" spans="1:11" x14ac:dyDescent="0.3">
      <c r="A255" s="15" t="s">
        <v>67</v>
      </c>
      <c r="B255" s="9"/>
      <c r="C255" s="9"/>
      <c r="D255" s="9"/>
      <c r="E255" s="9"/>
      <c r="F255" s="9"/>
      <c r="G255" s="9"/>
      <c r="H255" s="9"/>
      <c r="I255" s="9"/>
      <c r="J255" s="9"/>
      <c r="K255" s="10"/>
    </row>
    <row r="256" spans="1:11" x14ac:dyDescent="0.3">
      <c r="A256" s="16" t="s">
        <v>53</v>
      </c>
      <c r="B256" s="12">
        <v>1</v>
      </c>
      <c r="C256" s="12">
        <v>2</v>
      </c>
      <c r="D256" s="12">
        <v>4</v>
      </c>
      <c r="E256" s="12">
        <v>8</v>
      </c>
      <c r="F256" s="12">
        <v>16</v>
      </c>
      <c r="G256" s="12">
        <v>32</v>
      </c>
      <c r="H256" s="12">
        <v>64</v>
      </c>
      <c r="I256" s="12">
        <v>128</v>
      </c>
      <c r="J256" s="12">
        <v>256</v>
      </c>
      <c r="K256" s="12">
        <v>1024</v>
      </c>
    </row>
    <row r="257" spans="1:11" x14ac:dyDescent="0.3">
      <c r="A257" s="12" t="s">
        <v>0</v>
      </c>
      <c r="B257" s="12" t="s">
        <v>18</v>
      </c>
      <c r="C257" s="12" t="s">
        <v>19</v>
      </c>
      <c r="D257" s="12" t="s">
        <v>20</v>
      </c>
      <c r="E257" s="12" t="s">
        <v>21</v>
      </c>
      <c r="F257" s="12" t="s">
        <v>22</v>
      </c>
      <c r="G257" s="12" t="s">
        <v>23</v>
      </c>
      <c r="H257" s="12" t="s">
        <v>24</v>
      </c>
      <c r="I257" s="12" t="s">
        <v>25</v>
      </c>
      <c r="J257" s="12" t="s">
        <v>26</v>
      </c>
      <c r="K257" s="12" t="s">
        <v>27</v>
      </c>
    </row>
    <row r="258" spans="1:11" x14ac:dyDescent="0.3">
      <c r="A258" s="12" t="s">
        <v>4</v>
      </c>
      <c r="B258" s="14" t="b">
        <v>0</v>
      </c>
      <c r="C258" s="14" t="b">
        <v>0</v>
      </c>
      <c r="D258" s="14" t="s">
        <v>50</v>
      </c>
      <c r="E258" s="14" t="b">
        <v>0</v>
      </c>
      <c r="F258" s="14" t="b">
        <v>0</v>
      </c>
      <c r="G258" s="13" t="b">
        <v>1</v>
      </c>
      <c r="H258" s="14" t="s">
        <v>50</v>
      </c>
      <c r="I258" s="14" t="b">
        <v>0</v>
      </c>
      <c r="J258" s="14" t="b">
        <v>0</v>
      </c>
      <c r="K258" s="14" t="s">
        <v>50</v>
      </c>
    </row>
    <row r="259" spans="1:11" x14ac:dyDescent="0.3">
      <c r="A259" s="12" t="s">
        <v>6</v>
      </c>
      <c r="B259" s="14" t="b">
        <v>0</v>
      </c>
      <c r="C259" s="14" t="s">
        <v>50</v>
      </c>
      <c r="D259" s="14" t="b">
        <v>0</v>
      </c>
      <c r="E259" s="14" t="b">
        <v>0</v>
      </c>
      <c r="F259" s="14" t="s">
        <v>50</v>
      </c>
      <c r="G259" s="13" t="b">
        <v>1</v>
      </c>
      <c r="H259" s="14" t="b">
        <v>0</v>
      </c>
      <c r="I259" s="14" t="s">
        <v>50</v>
      </c>
      <c r="J259" s="14" t="b">
        <v>0</v>
      </c>
      <c r="K259" s="14" t="s">
        <v>50</v>
      </c>
    </row>
    <row r="260" spans="1:11" x14ac:dyDescent="0.3">
      <c r="A260" s="12" t="s">
        <v>7</v>
      </c>
      <c r="B260" s="14" t="b">
        <v>0</v>
      </c>
      <c r="C260" s="14" t="b">
        <v>0</v>
      </c>
      <c r="D260" s="14" t="b">
        <v>0</v>
      </c>
      <c r="E260" s="14" t="b">
        <v>0</v>
      </c>
      <c r="F260" s="14" t="b">
        <v>0</v>
      </c>
      <c r="G260" s="13" t="b">
        <v>1</v>
      </c>
      <c r="H260" s="14" t="s">
        <v>50</v>
      </c>
      <c r="I260" s="14" t="s">
        <v>50</v>
      </c>
      <c r="J260" s="14" t="s">
        <v>50</v>
      </c>
      <c r="K260" s="14" t="s">
        <v>50</v>
      </c>
    </row>
    <row r="261" spans="1:11" x14ac:dyDescent="0.3">
      <c r="A261" s="12" t="s">
        <v>8</v>
      </c>
      <c r="B261" s="14" t="b">
        <v>0</v>
      </c>
      <c r="C261" s="14" t="s">
        <v>50</v>
      </c>
      <c r="D261" s="14" t="b">
        <v>0</v>
      </c>
      <c r="E261" s="14" t="b">
        <v>0</v>
      </c>
      <c r="F261" s="14" t="b">
        <v>0</v>
      </c>
      <c r="G261" s="13" t="b">
        <v>1</v>
      </c>
      <c r="H261" s="14" t="s">
        <v>50</v>
      </c>
      <c r="I261" s="14" t="s">
        <v>50</v>
      </c>
      <c r="J261" s="14" t="s">
        <v>50</v>
      </c>
      <c r="K261" s="14" t="b">
        <v>0</v>
      </c>
    </row>
    <row r="262" spans="1:11" x14ac:dyDescent="0.3">
      <c r="A262" s="12" t="s">
        <v>9</v>
      </c>
      <c r="B262" s="13" t="b">
        <v>1</v>
      </c>
      <c r="C262" s="14" t="s">
        <v>50</v>
      </c>
      <c r="D262" s="14" t="s">
        <v>50</v>
      </c>
      <c r="E262" s="14" t="b">
        <v>0</v>
      </c>
      <c r="F262" s="14" t="b">
        <v>0</v>
      </c>
      <c r="G262" s="13" t="b">
        <v>1</v>
      </c>
      <c r="H262" s="14" t="s">
        <v>50</v>
      </c>
      <c r="I262" s="14" t="b">
        <v>0</v>
      </c>
      <c r="J262" s="14" t="b">
        <v>0</v>
      </c>
      <c r="K262" s="14" t="s">
        <v>50</v>
      </c>
    </row>
    <row r="263" spans="1:11" x14ac:dyDescent="0.3">
      <c r="A263" s="12" t="s">
        <v>10</v>
      </c>
      <c r="B263" s="14" t="b">
        <v>0</v>
      </c>
      <c r="C263" s="14" t="s">
        <v>50</v>
      </c>
      <c r="D263" s="14" t="b">
        <v>0</v>
      </c>
      <c r="E263" s="14" t="s">
        <v>50</v>
      </c>
      <c r="F263" s="14" t="s">
        <v>50</v>
      </c>
      <c r="G263" s="13" t="b">
        <v>1</v>
      </c>
      <c r="H263" s="14" t="b">
        <v>0</v>
      </c>
      <c r="I263" s="14" t="s">
        <v>50</v>
      </c>
      <c r="J263" s="14" t="s">
        <v>50</v>
      </c>
      <c r="K263" s="14" t="b">
        <v>0</v>
      </c>
    </row>
    <row r="264" spans="1:11" x14ac:dyDescent="0.3">
      <c r="A264" s="12" t="s">
        <v>11</v>
      </c>
      <c r="B264" s="14" t="b">
        <v>0</v>
      </c>
      <c r="C264" s="14" t="s">
        <v>50</v>
      </c>
      <c r="D264" s="14" t="s">
        <v>50</v>
      </c>
      <c r="E264" s="14" t="b">
        <v>0</v>
      </c>
      <c r="F264" s="14" t="s">
        <v>50</v>
      </c>
      <c r="G264" s="13" t="b">
        <v>1</v>
      </c>
      <c r="H264" s="14" t="s">
        <v>50</v>
      </c>
      <c r="I264" s="14" t="b">
        <v>0</v>
      </c>
      <c r="J264" s="14" t="b">
        <v>0</v>
      </c>
      <c r="K264" s="14" t="s">
        <v>50</v>
      </c>
    </row>
    <row r="265" spans="1:11" x14ac:dyDescent="0.3">
      <c r="A265" s="12" t="s">
        <v>12</v>
      </c>
      <c r="B265" s="14" t="b">
        <v>0</v>
      </c>
      <c r="C265" s="14" t="s">
        <v>50</v>
      </c>
      <c r="D265" s="14" t="b">
        <v>0</v>
      </c>
      <c r="E265" s="14" t="b">
        <v>0</v>
      </c>
      <c r="F265" s="14" t="b">
        <v>0</v>
      </c>
      <c r="G265" s="13" t="b">
        <v>1</v>
      </c>
      <c r="H265" s="14" t="b">
        <v>0</v>
      </c>
      <c r="I265" s="14" t="b">
        <v>0</v>
      </c>
      <c r="J265" s="14" t="s">
        <v>50</v>
      </c>
      <c r="K265" s="14" t="s">
        <v>50</v>
      </c>
    </row>
    <row r="266" spans="1:11" x14ac:dyDescent="0.3">
      <c r="A266" s="12" t="s">
        <v>13</v>
      </c>
      <c r="B266" s="14" t="b">
        <v>0</v>
      </c>
      <c r="C266" s="14" t="s">
        <v>50</v>
      </c>
      <c r="D266" s="14" t="b">
        <v>0</v>
      </c>
      <c r="E266" s="14" t="b">
        <v>0</v>
      </c>
      <c r="F266" s="14" t="b">
        <v>0</v>
      </c>
      <c r="G266" s="13" t="b">
        <v>1</v>
      </c>
      <c r="H266" s="14" t="b">
        <v>0</v>
      </c>
      <c r="I266" s="14" t="b">
        <v>0</v>
      </c>
      <c r="J266" s="14" t="b">
        <v>0</v>
      </c>
      <c r="K266" s="14" t="s">
        <v>50</v>
      </c>
    </row>
    <row r="267" spans="1:11" x14ac:dyDescent="0.3">
      <c r="A267" s="12" t="s">
        <v>14</v>
      </c>
      <c r="B267" s="14" t="s">
        <v>50</v>
      </c>
      <c r="C267" s="13" t="b">
        <v>1</v>
      </c>
      <c r="D267" s="14" t="b">
        <v>0</v>
      </c>
      <c r="E267" s="14" t="b">
        <v>0</v>
      </c>
      <c r="F267" s="14" t="b">
        <v>0</v>
      </c>
      <c r="G267" s="13" t="b">
        <v>1</v>
      </c>
      <c r="H267" s="14" t="s">
        <v>50</v>
      </c>
      <c r="I267" s="14" t="b">
        <v>0</v>
      </c>
      <c r="J267" s="14" t="b">
        <v>0</v>
      </c>
      <c r="K267" s="14" t="s">
        <v>50</v>
      </c>
    </row>
    <row r="268" spans="1:11" x14ac:dyDescent="0.3">
      <c r="A268" s="12" t="s">
        <v>15</v>
      </c>
      <c r="B268" s="13" t="b">
        <v>1</v>
      </c>
      <c r="C268" s="14" t="b">
        <v>0</v>
      </c>
      <c r="D268" s="14" t="b">
        <v>0</v>
      </c>
      <c r="E268" s="14" t="s">
        <v>50</v>
      </c>
      <c r="F268" s="14" t="b">
        <v>0</v>
      </c>
      <c r="G268" s="13" t="b">
        <v>1</v>
      </c>
      <c r="H268" s="14" t="b">
        <v>0</v>
      </c>
      <c r="I268" s="14" t="b">
        <v>0</v>
      </c>
      <c r="J268" s="14" t="s">
        <v>50</v>
      </c>
      <c r="K268" s="14" t="s">
        <v>50</v>
      </c>
    </row>
    <row r="269" spans="1:11" x14ac:dyDescent="0.3">
      <c r="A269" s="12" t="s">
        <v>16</v>
      </c>
      <c r="B269" s="13" t="b">
        <v>1</v>
      </c>
      <c r="C269" s="14" t="s">
        <v>50</v>
      </c>
      <c r="D269" s="14" t="b">
        <v>0</v>
      </c>
      <c r="E269" s="14" t="b">
        <v>0</v>
      </c>
      <c r="F269" s="14" t="b">
        <v>0</v>
      </c>
      <c r="G269" s="13" t="b">
        <v>1</v>
      </c>
      <c r="H269" s="14" t="s">
        <v>50</v>
      </c>
      <c r="I269" s="14" t="b">
        <v>0</v>
      </c>
      <c r="J269" s="14" t="b">
        <v>0</v>
      </c>
      <c r="K269" s="14" t="b">
        <v>0</v>
      </c>
    </row>
    <row r="270" spans="1:11" x14ac:dyDescent="0.3">
      <c r="A270" s="12" t="s">
        <v>51</v>
      </c>
      <c r="B270" s="12">
        <f t="shared" ref="B270:K270" si="16">SUMIFS($M$3:$M$14,B258:B269,"TRUE")</f>
        <v>3088</v>
      </c>
      <c r="C270" s="12">
        <f t="shared" si="16"/>
        <v>512</v>
      </c>
      <c r="D270" s="12">
        <f t="shared" si="16"/>
        <v>0</v>
      </c>
      <c r="E270" s="12">
        <f t="shared" si="16"/>
        <v>0</v>
      </c>
      <c r="F270" s="12">
        <f t="shared" si="16"/>
        <v>0</v>
      </c>
      <c r="G270" s="12">
        <f t="shared" si="16"/>
        <v>4095</v>
      </c>
      <c r="H270" s="12">
        <f t="shared" si="16"/>
        <v>0</v>
      </c>
      <c r="I270" s="12">
        <f t="shared" si="16"/>
        <v>0</v>
      </c>
      <c r="J270" s="12">
        <f t="shared" si="16"/>
        <v>0</v>
      </c>
      <c r="K270" s="12">
        <f t="shared" si="16"/>
        <v>0</v>
      </c>
    </row>
    <row r="272" spans="1:11" x14ac:dyDescent="0.3">
      <c r="A272" s="15" t="s">
        <v>68</v>
      </c>
      <c r="B272" s="9"/>
      <c r="C272" s="9"/>
      <c r="D272" s="9"/>
      <c r="E272" s="9"/>
      <c r="F272" s="9"/>
      <c r="G272" s="9"/>
      <c r="H272" s="9"/>
      <c r="I272" s="9"/>
      <c r="J272" s="9"/>
      <c r="K272" s="10"/>
    </row>
    <row r="273" spans="1:11" x14ac:dyDescent="0.3">
      <c r="A273" s="16" t="s">
        <v>53</v>
      </c>
      <c r="B273" s="12">
        <v>1</v>
      </c>
      <c r="C273" s="12">
        <v>2</v>
      </c>
      <c r="D273" s="12">
        <v>4</v>
      </c>
      <c r="E273" s="12">
        <v>8</v>
      </c>
      <c r="F273" s="12">
        <v>16</v>
      </c>
      <c r="G273" s="12">
        <v>32</v>
      </c>
      <c r="H273" s="12">
        <v>64</v>
      </c>
      <c r="I273" s="12">
        <v>128</v>
      </c>
      <c r="J273" s="12">
        <v>256</v>
      </c>
      <c r="K273" s="12">
        <v>1024</v>
      </c>
    </row>
    <row r="274" spans="1:11" x14ac:dyDescent="0.3">
      <c r="A274" s="12" t="s">
        <v>0</v>
      </c>
      <c r="B274" s="12" t="s">
        <v>18</v>
      </c>
      <c r="C274" s="12" t="s">
        <v>19</v>
      </c>
      <c r="D274" s="12" t="s">
        <v>20</v>
      </c>
      <c r="E274" s="12" t="s">
        <v>21</v>
      </c>
      <c r="F274" s="12" t="s">
        <v>22</v>
      </c>
      <c r="G274" s="12" t="s">
        <v>23</v>
      </c>
      <c r="H274" s="12" t="s">
        <v>24</v>
      </c>
      <c r="I274" s="12" t="s">
        <v>25</v>
      </c>
      <c r="J274" s="12" t="s">
        <v>26</v>
      </c>
      <c r="K274" s="12" t="s">
        <v>27</v>
      </c>
    </row>
    <row r="275" spans="1:11" x14ac:dyDescent="0.3">
      <c r="A275" s="12" t="s">
        <v>4</v>
      </c>
      <c r="B275" s="13" t="b">
        <v>1</v>
      </c>
      <c r="C275" s="13" t="b">
        <v>1</v>
      </c>
      <c r="D275" s="14" t="s">
        <v>50</v>
      </c>
      <c r="E275" s="13" t="b">
        <v>1</v>
      </c>
      <c r="F275" s="13" t="b">
        <v>1</v>
      </c>
      <c r="G275" s="13" t="b">
        <v>1</v>
      </c>
      <c r="H275" s="14" t="s">
        <v>50</v>
      </c>
      <c r="I275" s="13" t="b">
        <v>1</v>
      </c>
      <c r="J275" s="13" t="b">
        <v>1</v>
      </c>
      <c r="K275" s="14" t="s">
        <v>50</v>
      </c>
    </row>
    <row r="276" spans="1:11" x14ac:dyDescent="0.3">
      <c r="A276" s="12" t="s">
        <v>6</v>
      </c>
      <c r="B276" s="13" t="b">
        <v>1</v>
      </c>
      <c r="C276" s="14" t="s">
        <v>50</v>
      </c>
      <c r="D276" s="13" t="b">
        <v>1</v>
      </c>
      <c r="E276" s="13" t="b">
        <v>1</v>
      </c>
      <c r="F276" s="14" t="s">
        <v>50</v>
      </c>
      <c r="G276" s="13" t="b">
        <v>1</v>
      </c>
      <c r="H276" s="13" t="b">
        <v>1</v>
      </c>
      <c r="I276" s="14" t="s">
        <v>50</v>
      </c>
      <c r="J276" s="13" t="b">
        <v>1</v>
      </c>
      <c r="K276" s="14" t="s">
        <v>50</v>
      </c>
    </row>
    <row r="277" spans="1:11" x14ac:dyDescent="0.3">
      <c r="A277" s="12" t="s">
        <v>7</v>
      </c>
      <c r="B277" s="13" t="b">
        <v>1</v>
      </c>
      <c r="C277" s="13" t="b">
        <v>1</v>
      </c>
      <c r="D277" s="13" t="b">
        <v>1</v>
      </c>
      <c r="E277" s="13" t="b">
        <v>1</v>
      </c>
      <c r="F277" s="13" t="b">
        <v>1</v>
      </c>
      <c r="G277" s="13" t="b">
        <v>1</v>
      </c>
      <c r="H277" s="14" t="s">
        <v>50</v>
      </c>
      <c r="I277" s="14" t="s">
        <v>50</v>
      </c>
      <c r="J277" s="14" t="s">
        <v>50</v>
      </c>
      <c r="K277" s="14" t="s">
        <v>50</v>
      </c>
    </row>
    <row r="278" spans="1:11" x14ac:dyDescent="0.3">
      <c r="A278" s="12" t="s">
        <v>8</v>
      </c>
      <c r="B278" s="13" t="b">
        <v>1</v>
      </c>
      <c r="C278" s="14" t="s">
        <v>50</v>
      </c>
      <c r="D278" s="13" t="b">
        <v>1</v>
      </c>
      <c r="E278" s="13" t="b">
        <v>1</v>
      </c>
      <c r="F278" s="13" t="b">
        <v>1</v>
      </c>
      <c r="G278" s="13" t="b">
        <v>1</v>
      </c>
      <c r="H278" s="14" t="s">
        <v>50</v>
      </c>
      <c r="I278" s="14" t="s">
        <v>50</v>
      </c>
      <c r="J278" s="14" t="s">
        <v>50</v>
      </c>
      <c r="K278" s="13" t="b">
        <v>1</v>
      </c>
    </row>
    <row r="279" spans="1:11" x14ac:dyDescent="0.3">
      <c r="A279" s="12" t="s">
        <v>9</v>
      </c>
      <c r="B279" s="13" t="b">
        <v>1</v>
      </c>
      <c r="C279" s="14" t="s">
        <v>50</v>
      </c>
      <c r="D279" s="14" t="s">
        <v>50</v>
      </c>
      <c r="E279" s="13" t="b">
        <v>1</v>
      </c>
      <c r="F279" s="13" t="b">
        <v>1</v>
      </c>
      <c r="G279" s="13" t="b">
        <v>1</v>
      </c>
      <c r="H279" s="14" t="s">
        <v>50</v>
      </c>
      <c r="I279" s="13" t="b">
        <v>1</v>
      </c>
      <c r="J279" s="13" t="b">
        <v>1</v>
      </c>
      <c r="K279" s="14" t="s">
        <v>50</v>
      </c>
    </row>
    <row r="280" spans="1:11" x14ac:dyDescent="0.3">
      <c r="A280" s="12" t="s">
        <v>10</v>
      </c>
      <c r="B280" s="13" t="b">
        <v>1</v>
      </c>
      <c r="C280" s="14" t="s">
        <v>50</v>
      </c>
      <c r="D280" s="13" t="b">
        <v>1</v>
      </c>
      <c r="E280" s="14" t="s">
        <v>50</v>
      </c>
      <c r="F280" s="14" t="s">
        <v>50</v>
      </c>
      <c r="G280" s="13" t="b">
        <v>1</v>
      </c>
      <c r="H280" s="13" t="b">
        <v>1</v>
      </c>
      <c r="I280" s="14" t="s">
        <v>50</v>
      </c>
      <c r="J280" s="14" t="s">
        <v>50</v>
      </c>
      <c r="K280" s="13" t="b">
        <v>1</v>
      </c>
    </row>
    <row r="281" spans="1:11" x14ac:dyDescent="0.3">
      <c r="A281" s="12" t="s">
        <v>11</v>
      </c>
      <c r="B281" s="13" t="b">
        <v>1</v>
      </c>
      <c r="C281" s="14" t="s">
        <v>50</v>
      </c>
      <c r="D281" s="14" t="s">
        <v>50</v>
      </c>
      <c r="E281" s="13" t="b">
        <v>1</v>
      </c>
      <c r="F281" s="14" t="s">
        <v>50</v>
      </c>
      <c r="G281" s="13" t="b">
        <v>1</v>
      </c>
      <c r="H281" s="14" t="s">
        <v>50</v>
      </c>
      <c r="I281" s="13" t="b">
        <v>1</v>
      </c>
      <c r="J281" s="13" t="b">
        <v>1</v>
      </c>
      <c r="K281" s="14" t="s">
        <v>50</v>
      </c>
    </row>
    <row r="282" spans="1:11" x14ac:dyDescent="0.3">
      <c r="A282" s="12" t="s">
        <v>12</v>
      </c>
      <c r="B282" s="13" t="b">
        <v>1</v>
      </c>
      <c r="C282" s="14" t="s">
        <v>50</v>
      </c>
      <c r="D282" s="13" t="b">
        <v>1</v>
      </c>
      <c r="E282" s="13" t="b">
        <v>1</v>
      </c>
      <c r="F282" s="13" t="b">
        <v>1</v>
      </c>
      <c r="G282" s="13" t="b">
        <v>1</v>
      </c>
      <c r="H282" s="13" t="b">
        <v>1</v>
      </c>
      <c r="I282" s="13" t="b">
        <v>1</v>
      </c>
      <c r="J282" s="14" t="s">
        <v>50</v>
      </c>
      <c r="K282" s="14" t="s">
        <v>50</v>
      </c>
    </row>
    <row r="283" spans="1:11" x14ac:dyDescent="0.3">
      <c r="A283" s="12" t="s">
        <v>13</v>
      </c>
      <c r="B283" s="13" t="b">
        <v>1</v>
      </c>
      <c r="C283" s="14" t="s">
        <v>50</v>
      </c>
      <c r="D283" s="13" t="b">
        <v>1</v>
      </c>
      <c r="E283" s="13" t="b">
        <v>1</v>
      </c>
      <c r="F283" s="13" t="b">
        <v>1</v>
      </c>
      <c r="G283" s="13" t="b">
        <v>1</v>
      </c>
      <c r="H283" s="13" t="b">
        <v>1</v>
      </c>
      <c r="I283" s="13" t="b">
        <v>1</v>
      </c>
      <c r="J283" s="13" t="b">
        <v>1</v>
      </c>
      <c r="K283" s="14" t="s">
        <v>50</v>
      </c>
    </row>
    <row r="284" spans="1:11" x14ac:dyDescent="0.3">
      <c r="A284" s="12" t="s">
        <v>14</v>
      </c>
      <c r="B284" s="14" t="s">
        <v>50</v>
      </c>
      <c r="C284" s="13" t="b">
        <v>1</v>
      </c>
      <c r="D284" s="13" t="b">
        <v>1</v>
      </c>
      <c r="E284" s="13" t="b">
        <v>1</v>
      </c>
      <c r="F284" s="13" t="b">
        <v>1</v>
      </c>
      <c r="G284" s="13" t="b">
        <v>1</v>
      </c>
      <c r="H284" s="14" t="s">
        <v>50</v>
      </c>
      <c r="I284" s="13" t="b">
        <v>1</v>
      </c>
      <c r="J284" s="13" t="b">
        <v>1</v>
      </c>
      <c r="K284" s="14" t="s">
        <v>50</v>
      </c>
    </row>
    <row r="285" spans="1:11" x14ac:dyDescent="0.3">
      <c r="A285" s="12" t="s">
        <v>15</v>
      </c>
      <c r="B285" s="13" t="b">
        <v>1</v>
      </c>
      <c r="C285" s="13" t="b">
        <v>1</v>
      </c>
      <c r="D285" s="13" t="b">
        <v>1</v>
      </c>
      <c r="E285" s="14" t="s">
        <v>50</v>
      </c>
      <c r="F285" s="13" t="b">
        <v>1</v>
      </c>
      <c r="G285" s="13" t="b">
        <v>1</v>
      </c>
      <c r="H285" s="13" t="b">
        <v>1</v>
      </c>
      <c r="I285" s="13" t="b">
        <v>1</v>
      </c>
      <c r="J285" s="14" t="s">
        <v>50</v>
      </c>
      <c r="K285" s="14" t="s">
        <v>50</v>
      </c>
    </row>
    <row r="286" spans="1:11" x14ac:dyDescent="0.3">
      <c r="A286" s="12" t="s">
        <v>16</v>
      </c>
      <c r="B286" s="13" t="b">
        <v>1</v>
      </c>
      <c r="C286" s="14" t="s">
        <v>50</v>
      </c>
      <c r="D286" s="13" t="b">
        <v>1</v>
      </c>
      <c r="E286" s="13" t="b">
        <v>1</v>
      </c>
      <c r="F286" s="13" t="b">
        <v>1</v>
      </c>
      <c r="G286" s="13" t="b">
        <v>1</v>
      </c>
      <c r="H286" s="14" t="s">
        <v>50</v>
      </c>
      <c r="I286" s="13" t="b">
        <v>1</v>
      </c>
      <c r="J286" s="13" t="b">
        <v>1</v>
      </c>
      <c r="K286" s="13" t="b">
        <v>1</v>
      </c>
    </row>
    <row r="287" spans="1:11" x14ac:dyDescent="0.3">
      <c r="A287" s="12" t="s">
        <v>51</v>
      </c>
      <c r="B287" s="12">
        <f t="shared" ref="B287:K287" si="17">SUMIFS($M$3:$M$14,B275:B286,"TRUE")</f>
        <v>3583</v>
      </c>
      <c r="C287" s="12">
        <f t="shared" si="17"/>
        <v>1541</v>
      </c>
      <c r="D287" s="12">
        <f t="shared" si="17"/>
        <v>4014</v>
      </c>
      <c r="E287" s="12">
        <f t="shared" si="17"/>
        <v>3039</v>
      </c>
      <c r="F287" s="12">
        <f t="shared" si="17"/>
        <v>3997</v>
      </c>
      <c r="G287" s="12">
        <f t="shared" si="17"/>
        <v>4095</v>
      </c>
      <c r="H287" s="12">
        <f t="shared" si="17"/>
        <v>1442</v>
      </c>
      <c r="I287" s="12">
        <f t="shared" si="17"/>
        <v>4049</v>
      </c>
      <c r="J287" s="12">
        <f t="shared" si="17"/>
        <v>2899</v>
      </c>
      <c r="K287" s="12">
        <f t="shared" si="17"/>
        <v>2088</v>
      </c>
    </row>
    <row r="289" spans="1:11" x14ac:dyDescent="0.3">
      <c r="A289" s="15" t="s">
        <v>69</v>
      </c>
      <c r="B289" s="9"/>
      <c r="C289" s="9"/>
      <c r="D289" s="9"/>
      <c r="E289" s="9"/>
      <c r="F289" s="9"/>
      <c r="G289" s="9"/>
      <c r="H289" s="9"/>
      <c r="I289" s="9"/>
      <c r="J289" s="9"/>
      <c r="K289" s="10"/>
    </row>
    <row r="290" spans="1:11" x14ac:dyDescent="0.3">
      <c r="A290" s="16" t="s">
        <v>53</v>
      </c>
      <c r="B290" s="12">
        <v>1</v>
      </c>
      <c r="C290" s="12">
        <v>2</v>
      </c>
      <c r="D290" s="12">
        <v>4</v>
      </c>
      <c r="E290" s="12">
        <v>8</v>
      </c>
      <c r="F290" s="12">
        <v>16</v>
      </c>
      <c r="G290" s="12">
        <v>32</v>
      </c>
      <c r="H290" s="12">
        <v>64</v>
      </c>
      <c r="I290" s="12">
        <v>128</v>
      </c>
      <c r="J290" s="12">
        <v>256</v>
      </c>
      <c r="K290" s="12">
        <v>1024</v>
      </c>
    </row>
    <row r="291" spans="1:11" x14ac:dyDescent="0.3">
      <c r="A291" s="12" t="s">
        <v>0</v>
      </c>
      <c r="B291" s="12" t="s">
        <v>18</v>
      </c>
      <c r="C291" s="12" t="s">
        <v>19</v>
      </c>
      <c r="D291" s="12" t="s">
        <v>20</v>
      </c>
      <c r="E291" s="12" t="s">
        <v>21</v>
      </c>
      <c r="F291" s="12" t="s">
        <v>22</v>
      </c>
      <c r="G291" s="12" t="s">
        <v>23</v>
      </c>
      <c r="H291" s="12" t="s">
        <v>24</v>
      </c>
      <c r="I291" s="12" t="s">
        <v>25</v>
      </c>
      <c r="J291" s="12" t="s">
        <v>26</v>
      </c>
      <c r="K291" s="12" t="s">
        <v>27</v>
      </c>
    </row>
    <row r="292" spans="1:11" x14ac:dyDescent="0.3">
      <c r="A292" s="12" t="s">
        <v>4</v>
      </c>
      <c r="B292" s="14" t="b">
        <v>0</v>
      </c>
      <c r="C292" s="14" t="b">
        <v>0</v>
      </c>
      <c r="D292" s="14" t="s">
        <v>50</v>
      </c>
      <c r="E292" s="14" t="b">
        <v>0</v>
      </c>
      <c r="F292" s="13" t="b">
        <v>1</v>
      </c>
      <c r="G292" s="14" t="b">
        <v>0</v>
      </c>
      <c r="H292" s="14" t="s">
        <v>50</v>
      </c>
      <c r="I292" s="13" t="b">
        <v>1</v>
      </c>
      <c r="J292" s="13" t="b">
        <v>1</v>
      </c>
      <c r="K292" s="14" t="s">
        <v>50</v>
      </c>
    </row>
    <row r="293" spans="1:11" x14ac:dyDescent="0.3">
      <c r="A293" s="12" t="s">
        <v>6</v>
      </c>
      <c r="B293" s="14" t="b">
        <v>0</v>
      </c>
      <c r="C293" s="14" t="s">
        <v>50</v>
      </c>
      <c r="D293" s="14" t="b">
        <v>0</v>
      </c>
      <c r="E293" s="14" t="b">
        <v>0</v>
      </c>
      <c r="F293" s="14" t="s">
        <v>50</v>
      </c>
      <c r="G293" s="14" t="b">
        <v>0</v>
      </c>
      <c r="H293" s="14" t="b">
        <v>0</v>
      </c>
      <c r="I293" s="14" t="s">
        <v>50</v>
      </c>
      <c r="J293" s="13" t="b">
        <v>1</v>
      </c>
      <c r="K293" s="14" t="s">
        <v>50</v>
      </c>
    </row>
    <row r="294" spans="1:11" x14ac:dyDescent="0.3">
      <c r="A294" s="12" t="s">
        <v>7</v>
      </c>
      <c r="B294" s="14" t="b">
        <v>0</v>
      </c>
      <c r="C294" s="14" t="b">
        <v>0</v>
      </c>
      <c r="D294" s="14" t="b">
        <v>0</v>
      </c>
      <c r="E294" s="14" t="b">
        <v>0</v>
      </c>
      <c r="F294" s="13" t="b">
        <v>1</v>
      </c>
      <c r="G294" s="14" t="b">
        <v>0</v>
      </c>
      <c r="H294" s="14" t="s">
        <v>50</v>
      </c>
      <c r="I294" s="14" t="s">
        <v>50</v>
      </c>
      <c r="J294" s="14" t="s">
        <v>50</v>
      </c>
      <c r="K294" s="14" t="s">
        <v>50</v>
      </c>
    </row>
    <row r="295" spans="1:11" x14ac:dyDescent="0.3">
      <c r="A295" s="12" t="s">
        <v>8</v>
      </c>
      <c r="B295" s="14" t="b">
        <v>0</v>
      </c>
      <c r="C295" s="14" t="s">
        <v>50</v>
      </c>
      <c r="D295" s="14" t="b">
        <v>0</v>
      </c>
      <c r="E295" s="14" t="b">
        <v>0</v>
      </c>
      <c r="F295" s="13" t="b">
        <v>1</v>
      </c>
      <c r="G295" s="14" t="b">
        <v>0</v>
      </c>
      <c r="H295" s="14" t="s">
        <v>50</v>
      </c>
      <c r="I295" s="14" t="s">
        <v>50</v>
      </c>
      <c r="J295" s="14" t="s">
        <v>50</v>
      </c>
      <c r="K295" s="14" t="b">
        <v>0</v>
      </c>
    </row>
    <row r="296" spans="1:11" x14ac:dyDescent="0.3">
      <c r="A296" s="12" t="s">
        <v>9</v>
      </c>
      <c r="B296" s="14" t="b">
        <v>0</v>
      </c>
      <c r="C296" s="14" t="s">
        <v>50</v>
      </c>
      <c r="D296" s="14" t="s">
        <v>50</v>
      </c>
      <c r="E296" s="14" t="b">
        <v>0</v>
      </c>
      <c r="F296" s="13" t="b">
        <v>1</v>
      </c>
      <c r="G296" s="14" t="b">
        <v>0</v>
      </c>
      <c r="H296" s="14" t="s">
        <v>50</v>
      </c>
      <c r="I296" s="13" t="b">
        <v>1</v>
      </c>
      <c r="J296" s="13" t="b">
        <v>1</v>
      </c>
      <c r="K296" s="14" t="s">
        <v>50</v>
      </c>
    </row>
    <row r="297" spans="1:11" x14ac:dyDescent="0.3">
      <c r="A297" s="12" t="s">
        <v>10</v>
      </c>
      <c r="B297" s="14" t="b">
        <v>0</v>
      </c>
      <c r="C297" s="14" t="s">
        <v>50</v>
      </c>
      <c r="D297" s="14" t="b">
        <v>0</v>
      </c>
      <c r="E297" s="14" t="s">
        <v>50</v>
      </c>
      <c r="F297" s="14" t="s">
        <v>50</v>
      </c>
      <c r="G297" s="14" t="b">
        <v>0</v>
      </c>
      <c r="H297" s="14" t="b">
        <v>0</v>
      </c>
      <c r="I297" s="14" t="s">
        <v>50</v>
      </c>
      <c r="J297" s="14" t="s">
        <v>50</v>
      </c>
      <c r="K297" s="14" t="b">
        <v>0</v>
      </c>
    </row>
    <row r="298" spans="1:11" x14ac:dyDescent="0.3">
      <c r="A298" s="12" t="s">
        <v>11</v>
      </c>
      <c r="B298" s="14" t="b">
        <v>0</v>
      </c>
      <c r="C298" s="14" t="s">
        <v>50</v>
      </c>
      <c r="D298" s="14" t="s">
        <v>50</v>
      </c>
      <c r="E298" s="14" t="b">
        <v>0</v>
      </c>
      <c r="F298" s="14" t="s">
        <v>50</v>
      </c>
      <c r="G298" s="14" t="b">
        <v>0</v>
      </c>
      <c r="H298" s="14" t="s">
        <v>50</v>
      </c>
      <c r="I298" s="13" t="b">
        <v>1</v>
      </c>
      <c r="J298" s="13" t="b">
        <v>1</v>
      </c>
      <c r="K298" s="14" t="s">
        <v>50</v>
      </c>
    </row>
    <row r="299" spans="1:11" x14ac:dyDescent="0.3">
      <c r="A299" s="12" t="s">
        <v>12</v>
      </c>
      <c r="B299" s="14" t="b">
        <v>0</v>
      </c>
      <c r="C299" s="14" t="s">
        <v>50</v>
      </c>
      <c r="D299" s="14" t="b">
        <v>0</v>
      </c>
      <c r="E299" s="14" t="b">
        <v>0</v>
      </c>
      <c r="F299" s="13" t="b">
        <v>1</v>
      </c>
      <c r="G299" s="14" t="b">
        <v>0</v>
      </c>
      <c r="H299" s="14" t="b">
        <v>0</v>
      </c>
      <c r="I299" s="13" t="b">
        <v>1</v>
      </c>
      <c r="J299" s="14" t="s">
        <v>50</v>
      </c>
      <c r="K299" s="14" t="s">
        <v>50</v>
      </c>
    </row>
    <row r="300" spans="1:11" x14ac:dyDescent="0.3">
      <c r="A300" s="12" t="s">
        <v>13</v>
      </c>
      <c r="B300" s="14" t="b">
        <v>0</v>
      </c>
      <c r="C300" s="14" t="s">
        <v>50</v>
      </c>
      <c r="D300" s="14" t="b">
        <v>0</v>
      </c>
      <c r="E300" s="14" t="b">
        <v>0</v>
      </c>
      <c r="F300" s="13" t="b">
        <v>1</v>
      </c>
      <c r="G300" s="14" t="b">
        <v>0</v>
      </c>
      <c r="H300" s="14" t="b">
        <v>0</v>
      </c>
      <c r="I300" s="13" t="b">
        <v>1</v>
      </c>
      <c r="J300" s="13" t="b">
        <v>1</v>
      </c>
      <c r="K300" s="14" t="s">
        <v>50</v>
      </c>
    </row>
    <row r="301" spans="1:11" x14ac:dyDescent="0.3">
      <c r="A301" s="12" t="s">
        <v>14</v>
      </c>
      <c r="B301" s="14" t="s">
        <v>50</v>
      </c>
      <c r="C301" s="14" t="b">
        <v>0</v>
      </c>
      <c r="D301" s="14" t="b">
        <v>0</v>
      </c>
      <c r="E301" s="14" t="b">
        <v>0</v>
      </c>
      <c r="F301" s="13" t="b">
        <v>1</v>
      </c>
      <c r="G301" s="14" t="b">
        <v>0</v>
      </c>
      <c r="H301" s="14" t="s">
        <v>50</v>
      </c>
      <c r="I301" s="13" t="b">
        <v>1</v>
      </c>
      <c r="J301" s="13" t="b">
        <v>1</v>
      </c>
      <c r="K301" s="14" t="s">
        <v>50</v>
      </c>
    </row>
    <row r="302" spans="1:11" x14ac:dyDescent="0.3">
      <c r="A302" s="12" t="s">
        <v>15</v>
      </c>
      <c r="B302" s="14" t="b">
        <v>0</v>
      </c>
      <c r="C302" s="14" t="b">
        <v>0</v>
      </c>
      <c r="D302" s="14" t="b">
        <v>0</v>
      </c>
      <c r="E302" s="14" t="s">
        <v>50</v>
      </c>
      <c r="F302" s="13" t="b">
        <v>1</v>
      </c>
      <c r="G302" s="14" t="b">
        <v>0</v>
      </c>
      <c r="H302" s="14" t="b">
        <v>0</v>
      </c>
      <c r="I302" s="13" t="b">
        <v>1</v>
      </c>
      <c r="J302" s="14" t="s">
        <v>50</v>
      </c>
      <c r="K302" s="14" t="s">
        <v>50</v>
      </c>
    </row>
    <row r="303" spans="1:11" x14ac:dyDescent="0.3">
      <c r="A303" s="12" t="s">
        <v>16</v>
      </c>
      <c r="B303" s="14" t="b">
        <v>0</v>
      </c>
      <c r="C303" s="14" t="s">
        <v>50</v>
      </c>
      <c r="D303" s="14" t="b">
        <v>0</v>
      </c>
      <c r="E303" s="14" t="b">
        <v>0</v>
      </c>
      <c r="F303" s="13" t="b">
        <v>1</v>
      </c>
      <c r="G303" s="14" t="b">
        <v>0</v>
      </c>
      <c r="H303" s="14" t="s">
        <v>50</v>
      </c>
      <c r="I303" s="13" t="b">
        <v>1</v>
      </c>
      <c r="J303" s="13" t="b">
        <v>1</v>
      </c>
      <c r="K303" s="14" t="b">
        <v>0</v>
      </c>
    </row>
    <row r="304" spans="1:11" x14ac:dyDescent="0.3">
      <c r="A304" s="12" t="s">
        <v>51</v>
      </c>
      <c r="B304" s="12">
        <f t="shared" ref="B304:K304" si="18">SUMIFS($M$3:$M$14,B292:B303,"TRUE")</f>
        <v>0</v>
      </c>
      <c r="C304" s="12">
        <f t="shared" si="18"/>
        <v>0</v>
      </c>
      <c r="D304" s="12">
        <f t="shared" si="18"/>
        <v>0</v>
      </c>
      <c r="E304" s="12">
        <f t="shared" si="18"/>
        <v>0</v>
      </c>
      <c r="F304" s="12">
        <f t="shared" si="18"/>
        <v>3997</v>
      </c>
      <c r="G304" s="12">
        <f t="shared" si="18"/>
        <v>0</v>
      </c>
      <c r="H304" s="12">
        <f t="shared" si="18"/>
        <v>0</v>
      </c>
      <c r="I304" s="12">
        <f t="shared" si="18"/>
        <v>4049</v>
      </c>
      <c r="J304" s="12">
        <f t="shared" si="18"/>
        <v>2899</v>
      </c>
      <c r="K304" s="12">
        <f t="shared" si="18"/>
        <v>0</v>
      </c>
    </row>
  </sheetData>
  <mergeCells count="18">
    <mergeCell ref="A221:K221"/>
    <mergeCell ref="A68:K68"/>
    <mergeCell ref="A255:K255"/>
    <mergeCell ref="A102:K102"/>
    <mergeCell ref="A1:K1"/>
    <mergeCell ref="A17:K17"/>
    <mergeCell ref="A289:K289"/>
    <mergeCell ref="A136:K136"/>
    <mergeCell ref="A119:K119"/>
    <mergeCell ref="A238:K238"/>
    <mergeCell ref="A34:K34"/>
    <mergeCell ref="A272:K272"/>
    <mergeCell ref="A153:K153"/>
    <mergeCell ref="A187:K187"/>
    <mergeCell ref="A204:K204"/>
    <mergeCell ref="A51:K51"/>
    <mergeCell ref="A170:K170"/>
    <mergeCell ref="A85:K85"/>
  </mergeCells>
  <conditionalFormatting sqref="A1:XFD1048576">
    <cfRule type="cellIs" dxfId="215" priority="1" operator="equal">
      <formula>"LEARN"</formula>
    </cfRule>
    <cfRule type="expression" dxfId="214" priority="2">
      <formula>"INVALID"</formula>
    </cfRule>
    <cfRule type="expression" dxfId="213" priority="3">
      <formula>AND(A1=FALSE, A1&lt;&gt;"")</formula>
    </cfRule>
    <cfRule type="cellIs" dxfId="212" priority="4" operator="equal">
      <formula>TRUE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Mask</vt:lpstr>
      <vt:lpstr>Class Mask</vt:lpstr>
      <vt:lpstr>Weapon Class Mask</vt:lpstr>
      <vt:lpstr>Race Class Starting 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Staden</dc:creator>
  <cp:lastModifiedBy>Justin Van Staden</cp:lastModifiedBy>
  <dcterms:created xsi:type="dcterms:W3CDTF">2024-06-06T10:19:29Z</dcterms:created>
  <dcterms:modified xsi:type="dcterms:W3CDTF">2025-12-26T10:33:13Z</dcterms:modified>
</cp:coreProperties>
</file>