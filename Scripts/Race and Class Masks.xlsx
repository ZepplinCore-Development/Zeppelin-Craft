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wow-server\Zeppelin-Craft\Scripts\"/>
    </mc:Choice>
  </mc:AlternateContent>
  <xr:revisionPtr revIDLastSave="0" documentId="13_ncr:1_{5A8B630F-92BD-4376-AED3-22AA5EFECE36}" xr6:coauthVersionLast="47" xr6:coauthVersionMax="47" xr10:uidLastSave="{00000000-0000-0000-0000-000000000000}"/>
  <bookViews>
    <workbookView minimized="1" xWindow="23388" yWindow="5820" windowWidth="22020" windowHeight="18516" firstSheet="1" activeTab="1" xr2:uid="{4BBDA68F-2F2D-4AF6-AB25-AE65BDBBC453}"/>
  </bookViews>
  <sheets>
    <sheet name="Race Mask" sheetId="1" r:id="rId1"/>
    <sheet name="Class Mask" sheetId="4" r:id="rId2"/>
    <sheet name="Weapon Class Mask" sheetId="2" r:id="rId3"/>
    <sheet name="Race Class Starting Skills" sheetId="3" r:id="rId4"/>
  </sheets>
  <definedNames>
    <definedName name="_xlnm._FilterDatabase" localSheetId="2" hidden="1">'Weapon Class Mask'!$A$3:$B$3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D9" i="4"/>
  <c r="D8" i="4"/>
  <c r="D7" i="4"/>
  <c r="D6" i="4"/>
  <c r="D5" i="4"/>
  <c r="D4" i="4"/>
  <c r="D3" i="4"/>
  <c r="D2" i="4"/>
  <c r="J83" i="3"/>
  <c r="K304" i="3"/>
  <c r="H304" i="3"/>
  <c r="G304" i="3"/>
  <c r="E304" i="3"/>
  <c r="D304" i="3"/>
  <c r="C304" i="3"/>
  <c r="B304" i="3"/>
  <c r="K270" i="3"/>
  <c r="J270" i="3"/>
  <c r="I270" i="3"/>
  <c r="H270" i="3"/>
  <c r="F270" i="3"/>
  <c r="E270" i="3"/>
  <c r="J253" i="3"/>
  <c r="I253" i="3"/>
  <c r="F253" i="3"/>
  <c r="E253" i="3"/>
  <c r="D253" i="3"/>
  <c r="K236" i="3"/>
  <c r="J236" i="3"/>
  <c r="I236" i="3"/>
  <c r="F236" i="3"/>
  <c r="E236" i="3"/>
  <c r="K219" i="3"/>
  <c r="J219" i="3"/>
  <c r="I219" i="3"/>
  <c r="H219" i="3"/>
  <c r="G219" i="3"/>
  <c r="F219" i="3"/>
  <c r="D219" i="3"/>
  <c r="C219" i="3"/>
  <c r="K202" i="3"/>
  <c r="H202" i="3"/>
  <c r="F202" i="3"/>
  <c r="G185" i="3"/>
  <c r="E185" i="3"/>
  <c r="C185" i="3"/>
  <c r="K168" i="3"/>
  <c r="J168" i="3"/>
  <c r="I168" i="3"/>
  <c r="G168" i="3"/>
  <c r="F168" i="3"/>
  <c r="E168" i="3"/>
  <c r="D168" i="3"/>
  <c r="K151" i="3"/>
  <c r="J151" i="3"/>
  <c r="I151" i="3"/>
  <c r="H151" i="3"/>
  <c r="F151" i="3"/>
  <c r="E151" i="3"/>
  <c r="J134" i="3"/>
  <c r="I134" i="3"/>
  <c r="D134" i="3"/>
  <c r="K117" i="3"/>
  <c r="J117" i="3"/>
  <c r="I117" i="3"/>
  <c r="H117" i="3"/>
  <c r="G117" i="3"/>
  <c r="F117" i="3"/>
  <c r="C117" i="3"/>
  <c r="J100" i="3"/>
  <c r="I100" i="3"/>
  <c r="G100" i="3"/>
  <c r="F100" i="3"/>
  <c r="C100" i="3"/>
  <c r="G83" i="3"/>
  <c r="C83" i="3"/>
  <c r="K66" i="3"/>
  <c r="J66" i="3"/>
  <c r="I66" i="3"/>
  <c r="H66" i="3"/>
  <c r="G66" i="3"/>
  <c r="F66" i="3"/>
  <c r="C66" i="3"/>
  <c r="K49" i="3"/>
  <c r="J49" i="3"/>
  <c r="I49" i="3"/>
  <c r="H49" i="3"/>
  <c r="G49" i="3"/>
  <c r="F49" i="3"/>
  <c r="C49" i="3"/>
  <c r="K32" i="3"/>
  <c r="J32" i="3"/>
  <c r="I32" i="3"/>
  <c r="F32" i="3"/>
  <c r="E32" i="3"/>
  <c r="M4" i="3"/>
  <c r="M5" i="3"/>
  <c r="M6" i="3"/>
  <c r="M7" i="3"/>
  <c r="M8" i="3"/>
  <c r="M9" i="3"/>
  <c r="M10" i="3"/>
  <c r="M11" i="3"/>
  <c r="M12" i="3"/>
  <c r="C32" i="3" s="1"/>
  <c r="M13" i="3"/>
  <c r="M14" i="3"/>
  <c r="M3" i="3"/>
  <c r="E3" i="1"/>
  <c r="E4" i="1"/>
  <c r="E5" i="1"/>
  <c r="E6" i="1"/>
  <c r="E7" i="1"/>
  <c r="E8" i="1"/>
  <c r="E9" i="1"/>
  <c r="E10" i="1"/>
  <c r="E11" i="1"/>
  <c r="E12" i="1"/>
  <c r="E13" i="1"/>
  <c r="E2" i="1"/>
  <c r="M2" i="2"/>
  <c r="D2" i="2"/>
  <c r="M12" i="2" s="1"/>
  <c r="E2" i="2"/>
  <c r="F2" i="2"/>
  <c r="M15" i="2" s="1"/>
  <c r="G2" i="2"/>
  <c r="H2" i="2"/>
  <c r="M18" i="2" s="1"/>
  <c r="I2" i="2"/>
  <c r="J2" i="2"/>
  <c r="M20" i="2" s="1"/>
  <c r="K2" i="2"/>
  <c r="L2" i="2"/>
  <c r="C2" i="2"/>
  <c r="M5" i="2"/>
  <c r="M6" i="2"/>
  <c r="M9" i="2"/>
  <c r="M10" i="2"/>
  <c r="M11" i="2"/>
  <c r="M13" i="2"/>
  <c r="M4" i="2"/>
  <c r="D12" i="4" l="1"/>
  <c r="K287" i="3"/>
  <c r="F287" i="3"/>
  <c r="D287" i="3"/>
  <c r="J287" i="3"/>
  <c r="B287" i="3"/>
  <c r="C287" i="3"/>
  <c r="F304" i="3"/>
  <c r="E287" i="3"/>
  <c r="D270" i="3"/>
  <c r="C253" i="3"/>
  <c r="G287" i="3"/>
  <c r="I304" i="3"/>
  <c r="H287" i="3"/>
  <c r="J304" i="3"/>
  <c r="I287" i="3"/>
  <c r="B270" i="3"/>
  <c r="C270" i="3"/>
  <c r="B236" i="3"/>
  <c r="G270" i="3"/>
  <c r="B253" i="3"/>
  <c r="K253" i="3"/>
  <c r="H236" i="3"/>
  <c r="G236" i="3"/>
  <c r="G253" i="3"/>
  <c r="H253" i="3"/>
  <c r="D236" i="3"/>
  <c r="C236" i="3"/>
  <c r="D202" i="3"/>
  <c r="E219" i="3"/>
  <c r="B219" i="3"/>
  <c r="K185" i="3"/>
  <c r="I202" i="3"/>
  <c r="B202" i="3"/>
  <c r="C202" i="3"/>
  <c r="E202" i="3"/>
  <c r="G202" i="3"/>
  <c r="H185" i="3"/>
  <c r="J185" i="3"/>
  <c r="J202" i="3"/>
  <c r="D185" i="3"/>
  <c r="F185" i="3"/>
  <c r="B185" i="3"/>
  <c r="B168" i="3"/>
  <c r="C168" i="3"/>
  <c r="I185" i="3"/>
  <c r="C134" i="3"/>
  <c r="H134" i="3"/>
  <c r="H168" i="3"/>
  <c r="K134" i="3"/>
  <c r="G134" i="3"/>
  <c r="B151" i="3"/>
  <c r="C151" i="3"/>
  <c r="D151" i="3"/>
  <c r="G151" i="3"/>
  <c r="B134" i="3"/>
  <c r="E134" i="3"/>
  <c r="F134" i="3"/>
  <c r="D117" i="3"/>
  <c r="K100" i="3"/>
  <c r="E117" i="3"/>
  <c r="B117" i="3"/>
  <c r="B100" i="3"/>
  <c r="B49" i="3"/>
  <c r="D100" i="3"/>
  <c r="D83" i="3"/>
  <c r="K83" i="3"/>
  <c r="E100" i="3"/>
  <c r="H100" i="3"/>
  <c r="B83" i="3"/>
  <c r="B66" i="3"/>
  <c r="E83" i="3"/>
  <c r="F83" i="3"/>
  <c r="E66" i="3"/>
  <c r="H83" i="3"/>
  <c r="I83" i="3"/>
  <c r="D66" i="3"/>
  <c r="D49" i="3"/>
  <c r="E49" i="3"/>
  <c r="C15" i="3"/>
  <c r="H32" i="3"/>
  <c r="D32" i="3"/>
  <c r="G32" i="3"/>
  <c r="K15" i="3"/>
  <c r="B32" i="3"/>
  <c r="D15" i="3"/>
  <c r="B15" i="3"/>
  <c r="J15" i="3"/>
  <c r="H15" i="3"/>
  <c r="G15" i="3"/>
  <c r="F15" i="3"/>
  <c r="I15" i="3"/>
  <c r="E15" i="3"/>
  <c r="M7" i="2"/>
  <c r="M17" i="2"/>
  <c r="M16" i="2"/>
  <c r="M14" i="2"/>
  <c r="M19" i="2"/>
  <c r="M8" i="2"/>
  <c r="E14" i="1"/>
</calcChain>
</file>

<file path=xl/sharedStrings.xml><?xml version="1.0" encoding="utf-8"?>
<sst xmlns="http://schemas.openxmlformats.org/spreadsheetml/2006/main" count="1018" uniqueCount="78">
  <si>
    <t>HUMAN</t>
  </si>
  <si>
    <t>ORC</t>
  </si>
  <si>
    <t>DWARF</t>
  </si>
  <si>
    <t>NIGHTELF</t>
  </si>
  <si>
    <t>UNDEAD</t>
  </si>
  <si>
    <t>TAUREN</t>
  </si>
  <si>
    <t>GNOME</t>
  </si>
  <si>
    <t>TROLL</t>
  </si>
  <si>
    <t>GOBLIN</t>
  </si>
  <si>
    <t>BLOODELF</t>
  </si>
  <si>
    <t>DRAENEI</t>
  </si>
  <si>
    <t>WORGEN</t>
  </si>
  <si>
    <t>RACE</t>
  </si>
  <si>
    <t>INCLUDE?</t>
  </si>
  <si>
    <t>x</t>
  </si>
  <si>
    <t>MASK</t>
  </si>
  <si>
    <t>ENUM</t>
  </si>
  <si>
    <t>Weapons</t>
  </si>
  <si>
    <t>Two-Handed Axes</t>
  </si>
  <si>
    <t>Skill ID</t>
  </si>
  <si>
    <t>Two-Handed Maces</t>
  </si>
  <si>
    <t>Two-Handed Swords</t>
  </si>
  <si>
    <t>Unarmed</t>
  </si>
  <si>
    <t>Wands</t>
  </si>
  <si>
    <t>Thrown</t>
  </si>
  <si>
    <t>Swords</t>
  </si>
  <si>
    <t>Staves</t>
  </si>
  <si>
    <t>Shield</t>
  </si>
  <si>
    <t>Polearms</t>
  </si>
  <si>
    <t>Maces</t>
  </si>
  <si>
    <t>Fist Weapons</t>
  </si>
  <si>
    <t>Daggers</t>
  </si>
  <si>
    <t>Guns</t>
  </si>
  <si>
    <t>Crossbows</t>
  </si>
  <si>
    <t>Bows</t>
  </si>
  <si>
    <t>Axes</t>
  </si>
  <si>
    <t>Hunter</t>
  </si>
  <si>
    <t xml:space="preserve">Warrior </t>
  </si>
  <si>
    <t>Priest</t>
  </si>
  <si>
    <t>Druid</t>
  </si>
  <si>
    <t>Shaman</t>
  </si>
  <si>
    <t>Paladin</t>
  </si>
  <si>
    <t>Rogue</t>
  </si>
  <si>
    <t>Death Knight</t>
  </si>
  <si>
    <t>Mage</t>
  </si>
  <si>
    <t>Warlock</t>
  </si>
  <si>
    <t>Mask</t>
  </si>
  <si>
    <t>ALL</t>
  </si>
  <si>
    <t>Orc</t>
  </si>
  <si>
    <t>Tauren</t>
  </si>
  <si>
    <t>Troll</t>
  </si>
  <si>
    <t>Human</t>
  </si>
  <si>
    <t>Night Elf</t>
  </si>
  <si>
    <t>Class Race Combinations</t>
  </si>
  <si>
    <t>Class Race - Starting Skill - Axe - 44</t>
  </si>
  <si>
    <t>Class Race - Starting Skill - Bows - 45</t>
  </si>
  <si>
    <t>Class Race - Starting Skill - Crossbows - 226</t>
  </si>
  <si>
    <t>Class Race - Starting Skill - Fist Weapons - 473</t>
  </si>
  <si>
    <t>Class Race - Starting Skill - Guns - 46</t>
  </si>
  <si>
    <t>Class Race - Starting Skill - Maces - 54</t>
  </si>
  <si>
    <t>Class Race - Starting Skill - Polearms - 229</t>
  </si>
  <si>
    <t>Class Race - Starting Skill - Shield - 433</t>
  </si>
  <si>
    <t>Class Race - Starting Skill - Staves - 136</t>
  </si>
  <si>
    <t>Class Race - Starting Skill - Swords - 43</t>
  </si>
  <si>
    <t>Class Race - Starting Skill - Thrown - 176</t>
  </si>
  <si>
    <t>Class Race - Starting Skill - Two-Handed Axes - 172</t>
  </si>
  <si>
    <t>Class Race - Starting Skill - Two-Handed Maces - 160</t>
  </si>
  <si>
    <t>Class Race - Starting Skill - Two-Handed Swords - 55</t>
  </si>
  <si>
    <t>Class Race - Starting Skill - Unarmed - 162</t>
  </si>
  <si>
    <t>Class Race - Starting Skill - Wands - 228</t>
  </si>
  <si>
    <t>White fill = base class / race combination</t>
  </si>
  <si>
    <t>Green fill = confirmed starting skill</t>
  </si>
  <si>
    <t>Orange fill = should be starting skill but for some reason is not?</t>
  </si>
  <si>
    <t>Grey fill = confirmed not starting skill</t>
  </si>
  <si>
    <t>CLASS MASK</t>
  </si>
  <si>
    <t>RACE MASK</t>
  </si>
  <si>
    <t>Class Race - Starting Skill - Dagger - 173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</si>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</sst>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420415</xdr:colOff>
      <xdr:row>0</xdr:row>
      <xdr:rowOff>158738</xdr:rowOff>
    </xdr:from>
    <xdr:to>
      <xdr:col>10</xdr:col>
      <xdr:colOff>94068</xdr:colOff>
      <xdr:row>12</xdr:row>
      <xdr:rowOff>168954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5ADFE-3086-AA64-2B44-E2063B98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8360" y="158738"/>
          <a:ext cx="3362784" cy="2217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45720</xdr:colOff>
      <xdr:row>1</xdr:row>
      <xdr:rowOff>162544</xdr:rowOff>
    </xdr:from>
    <xdr:to>
      <xdr:col>20</xdr:col>
      <xdr:colOff>38770</xdr:colOff>
      <xdr:row>18</xdr:row>
      <xdr:rowOff>132009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DA9288-145A-A74E-71BD-260395DF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960" y="345424"/>
          <a:ext cx="3650650" cy="307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6ECF-E904-4DA5-BAC3-8B9349C6B2A8}">
  <dimension ref="B1:E14"/>
  <sheetViews>
    <sheetView zoomScale="115" zoomScaleNormal="115" workbookViewId="0">
      <selection activeCell="B1" sqref="B1:E14"/>
    </sheetView>
  </sheetViews>
  <sheetFormatPr defaultRowHeight="14.4" x14ac:dyDescent="0.3"/>
  <cols>
    <col min="2" max="2" width="9.6640625" bestFit="1" customWidth="1"/>
    <col min="3" max="3" width="6.33203125" bestFit="1" customWidth="1"/>
    <col min="4" max="4" width="9.33203125" bestFit="1" customWidth="1"/>
    <col min="5" max="5" width="5.6640625" bestFit="1" customWidth="1"/>
    <col min="7" max="7" width="18.21875" bestFit="1" customWidth="1"/>
  </cols>
  <sheetData>
    <row r="1" spans="2:5" x14ac:dyDescent="0.3">
      <c r="B1" s="1" t="s">
        <v>12</v>
      </c>
      <c r="C1" s="1" t="s">
        <v>16</v>
      </c>
      <c r="D1" s="1" t="s">
        <v>13</v>
      </c>
      <c r="E1" s="1" t="s">
        <v>15</v>
      </c>
    </row>
    <row r="2" spans="2:5" x14ac:dyDescent="0.3">
      <c r="B2" s="1" t="s">
        <v>0</v>
      </c>
      <c r="C2" s="1">
        <v>1</v>
      </c>
      <c r="D2" s="1" t="s">
        <v>14</v>
      </c>
      <c r="E2" s="1">
        <f>IF(NOT(ISBLANK(D2)),POWER(2,C2-1),0)</f>
        <v>1</v>
      </c>
    </row>
    <row r="3" spans="2:5" x14ac:dyDescent="0.3">
      <c r="B3" s="1" t="s">
        <v>1</v>
      </c>
      <c r="C3" s="1">
        <v>2</v>
      </c>
      <c r="D3" s="1" t="s">
        <v>14</v>
      </c>
      <c r="E3" s="1">
        <f t="shared" ref="E3:E13" si="0">IF(NOT(ISBLANK(D3)),POWER(2,C3-1),0)</f>
        <v>2</v>
      </c>
    </row>
    <row r="4" spans="2:5" x14ac:dyDescent="0.3">
      <c r="B4" s="1" t="s">
        <v>2</v>
      </c>
      <c r="C4" s="1">
        <v>3</v>
      </c>
      <c r="D4" s="1" t="s">
        <v>14</v>
      </c>
      <c r="E4" s="1">
        <f t="shared" si="0"/>
        <v>4</v>
      </c>
    </row>
    <row r="5" spans="2:5" x14ac:dyDescent="0.3">
      <c r="B5" s="1" t="s">
        <v>3</v>
      </c>
      <c r="C5" s="1">
        <v>4</v>
      </c>
      <c r="D5" s="1" t="s">
        <v>14</v>
      </c>
      <c r="E5" s="1">
        <f t="shared" si="0"/>
        <v>8</v>
      </c>
    </row>
    <row r="6" spans="2:5" x14ac:dyDescent="0.3">
      <c r="B6" s="1" t="s">
        <v>4</v>
      </c>
      <c r="C6" s="1">
        <v>5</v>
      </c>
      <c r="D6" s="1" t="s">
        <v>14</v>
      </c>
      <c r="E6" s="1">
        <f t="shared" si="0"/>
        <v>16</v>
      </c>
    </row>
    <row r="7" spans="2:5" x14ac:dyDescent="0.3">
      <c r="B7" s="1" t="s">
        <v>5</v>
      </c>
      <c r="C7" s="1">
        <v>6</v>
      </c>
      <c r="D7" s="1"/>
      <c r="E7" s="1">
        <f t="shared" si="0"/>
        <v>0</v>
      </c>
    </row>
    <row r="8" spans="2:5" x14ac:dyDescent="0.3">
      <c r="B8" s="1" t="s">
        <v>6</v>
      </c>
      <c r="C8" s="1">
        <v>7</v>
      </c>
      <c r="D8" s="1" t="s">
        <v>14</v>
      </c>
      <c r="E8" s="1">
        <f t="shared" si="0"/>
        <v>64</v>
      </c>
    </row>
    <row r="9" spans="2:5" x14ac:dyDescent="0.3">
      <c r="B9" s="1" t="s">
        <v>7</v>
      </c>
      <c r="C9" s="1">
        <v>8</v>
      </c>
      <c r="D9" s="1" t="s">
        <v>14</v>
      </c>
      <c r="E9" s="1">
        <f t="shared" si="0"/>
        <v>128</v>
      </c>
    </row>
    <row r="10" spans="2:5" x14ac:dyDescent="0.3">
      <c r="B10" s="1" t="s">
        <v>8</v>
      </c>
      <c r="C10" s="1">
        <v>9</v>
      </c>
      <c r="D10" s="1" t="s">
        <v>14</v>
      </c>
      <c r="E10" s="1">
        <f t="shared" si="0"/>
        <v>256</v>
      </c>
    </row>
    <row r="11" spans="2:5" x14ac:dyDescent="0.3">
      <c r="B11" s="1" t="s">
        <v>9</v>
      </c>
      <c r="C11" s="1">
        <v>10</v>
      </c>
      <c r="D11" s="1" t="s">
        <v>14</v>
      </c>
      <c r="E11" s="1">
        <f t="shared" si="0"/>
        <v>512</v>
      </c>
    </row>
    <row r="12" spans="2:5" x14ac:dyDescent="0.3">
      <c r="B12" s="1" t="s">
        <v>10</v>
      </c>
      <c r="C12" s="1">
        <v>11</v>
      </c>
      <c r="D12" s="1"/>
      <c r="E12" s="1">
        <f t="shared" si="0"/>
        <v>0</v>
      </c>
    </row>
    <row r="13" spans="2:5" x14ac:dyDescent="0.3">
      <c r="B13" s="1" t="s">
        <v>11</v>
      </c>
      <c r="C13" s="1">
        <v>12</v>
      </c>
      <c r="D13" s="1" t="s">
        <v>14</v>
      </c>
      <c r="E13" s="1">
        <f t="shared" si="0"/>
        <v>2048</v>
      </c>
    </row>
    <row r="14" spans="2:5" x14ac:dyDescent="0.3">
      <c r="B14" s="10" t="s">
        <v>15</v>
      </c>
      <c r="C14" s="10"/>
      <c r="D14" s="10"/>
      <c r="E14" s="1">
        <f>SUM(E2:E13)</f>
        <v>3039</v>
      </c>
    </row>
  </sheetData>
  <mergeCells count="1">
    <mergeCell ref="B14:D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B914-D9A6-4EB5-9EF9-E6C90370F93E}">
  <dimension ref="A1:D12"/>
  <sheetViews>
    <sheetView tabSelected="1" workbookViewId="0">
      <selection activeCell="D19" sqref="D19"/>
    </sheetView>
  </sheetViews>
  <sheetFormatPr defaultRowHeight="14.4" x14ac:dyDescent="0.3"/>
  <cols>
    <col min="1" max="1" width="11.33203125" bestFit="1" customWidth="1"/>
  </cols>
  <sheetData>
    <row r="1" spans="1:4" x14ac:dyDescent="0.3">
      <c r="A1" s="1" t="s">
        <v>77</v>
      </c>
      <c r="B1" s="1" t="s">
        <v>16</v>
      </c>
      <c r="C1" s="1" t="s">
        <v>13</v>
      </c>
      <c r="D1" s="1" t="s">
        <v>15</v>
      </c>
    </row>
    <row r="2" spans="1:4" x14ac:dyDescent="0.3">
      <c r="A2" s="1" t="s">
        <v>37</v>
      </c>
      <c r="B2" s="1">
        <v>1</v>
      </c>
      <c r="C2" s="1" t="s">
        <v>14</v>
      </c>
      <c r="D2" s="1">
        <f>IF(NOT(ISBLANK(C2)),POWER(2,B2-1),0)</f>
        <v>1</v>
      </c>
    </row>
    <row r="3" spans="1:4" x14ac:dyDescent="0.3">
      <c r="A3" s="1" t="s">
        <v>41</v>
      </c>
      <c r="B3" s="1">
        <v>2</v>
      </c>
      <c r="C3" s="1"/>
      <c r="D3" s="1">
        <f t="shared" ref="D3:D11" si="0">IF(NOT(ISBLANK(C3)),POWER(2,B3-1),0)</f>
        <v>0</v>
      </c>
    </row>
    <row r="4" spans="1:4" x14ac:dyDescent="0.3">
      <c r="A4" s="1" t="s">
        <v>36</v>
      </c>
      <c r="B4" s="1">
        <v>3</v>
      </c>
      <c r="C4" s="1" t="s">
        <v>14</v>
      </c>
      <c r="D4" s="1">
        <f t="shared" si="0"/>
        <v>4</v>
      </c>
    </row>
    <row r="5" spans="1:4" x14ac:dyDescent="0.3">
      <c r="A5" s="1" t="s">
        <v>42</v>
      </c>
      <c r="B5" s="1">
        <v>4</v>
      </c>
      <c r="C5" s="1" t="s">
        <v>14</v>
      </c>
      <c r="D5" s="1">
        <f t="shared" si="0"/>
        <v>8</v>
      </c>
    </row>
    <row r="6" spans="1:4" x14ac:dyDescent="0.3">
      <c r="A6" s="1" t="s">
        <v>38</v>
      </c>
      <c r="B6" s="1">
        <v>5</v>
      </c>
      <c r="C6" s="1"/>
      <c r="D6" s="1">
        <f t="shared" si="0"/>
        <v>0</v>
      </c>
    </row>
    <row r="7" spans="1:4" x14ac:dyDescent="0.3">
      <c r="A7" s="1" t="s">
        <v>43</v>
      </c>
      <c r="B7" s="1">
        <v>6</v>
      </c>
      <c r="C7" s="1" t="s">
        <v>14</v>
      </c>
      <c r="D7" s="1">
        <f t="shared" si="0"/>
        <v>32</v>
      </c>
    </row>
    <row r="8" spans="1:4" x14ac:dyDescent="0.3">
      <c r="A8" s="1" t="s">
        <v>40</v>
      </c>
      <c r="B8" s="1">
        <v>7</v>
      </c>
      <c r="C8" s="1" t="s">
        <v>14</v>
      </c>
      <c r="D8" s="1">
        <f t="shared" si="0"/>
        <v>64</v>
      </c>
    </row>
    <row r="9" spans="1:4" x14ac:dyDescent="0.3">
      <c r="A9" s="1" t="s">
        <v>44</v>
      </c>
      <c r="B9" s="1">
        <v>8</v>
      </c>
      <c r="C9" s="1"/>
      <c r="D9" s="1">
        <f t="shared" si="0"/>
        <v>0</v>
      </c>
    </row>
    <row r="10" spans="1:4" x14ac:dyDescent="0.3">
      <c r="A10" s="1" t="s">
        <v>45</v>
      </c>
      <c r="B10" s="1">
        <v>9</v>
      </c>
      <c r="C10" s="1"/>
      <c r="D10" s="1">
        <f t="shared" si="0"/>
        <v>0</v>
      </c>
    </row>
    <row r="11" spans="1:4" x14ac:dyDescent="0.3">
      <c r="A11" s="1" t="s">
        <v>39</v>
      </c>
      <c r="B11" s="1">
        <v>10</v>
      </c>
      <c r="C11" s="1"/>
      <c r="D11" s="1">
        <f t="shared" si="0"/>
        <v>0</v>
      </c>
    </row>
    <row r="12" spans="1:4" x14ac:dyDescent="0.3">
      <c r="A12" s="10" t="s">
        <v>15</v>
      </c>
      <c r="B12" s="10"/>
      <c r="C12" s="10"/>
      <c r="D12" s="1">
        <f>SUM(D2:D11)</f>
        <v>109</v>
      </c>
    </row>
  </sheetData>
  <mergeCells count="1">
    <mergeCell ref="A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5A47-7F84-4837-99EA-E1E053D382AD}">
  <dimension ref="A1:M20"/>
  <sheetViews>
    <sheetView workbookViewId="0">
      <selection activeCell="L3" sqref="C3:L3"/>
    </sheetView>
  </sheetViews>
  <sheetFormatPr defaultRowHeight="14.4" x14ac:dyDescent="0.3"/>
  <cols>
    <col min="1" max="1" width="18" bestFit="1" customWidth="1"/>
    <col min="3" max="7" width="8.88671875" customWidth="1"/>
    <col min="8" max="8" width="11.33203125" customWidth="1"/>
    <col min="9" max="12" width="8.88671875" customWidth="1"/>
  </cols>
  <sheetData>
    <row r="1" spans="1:13" x14ac:dyDescent="0.3">
      <c r="A1" s="10" t="s">
        <v>16</v>
      </c>
      <c r="B1" s="10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11</v>
      </c>
      <c r="M1" s="1" t="s">
        <v>47</v>
      </c>
    </row>
    <row r="2" spans="1:13" x14ac:dyDescent="0.3">
      <c r="A2" s="10" t="s">
        <v>15</v>
      </c>
      <c r="B2" s="10"/>
      <c r="C2" s="1">
        <f>POWER(2,C1-1)</f>
        <v>1</v>
      </c>
      <c r="D2" s="1">
        <f t="shared" ref="D2:L2" si="0">POWER(2,D1-1)</f>
        <v>2</v>
      </c>
      <c r="E2" s="1">
        <f t="shared" si="0"/>
        <v>4</v>
      </c>
      <c r="F2" s="1">
        <f t="shared" si="0"/>
        <v>8</v>
      </c>
      <c r="G2" s="1">
        <f t="shared" si="0"/>
        <v>16</v>
      </c>
      <c r="H2" s="1">
        <f t="shared" si="0"/>
        <v>32</v>
      </c>
      <c r="I2" s="1">
        <f t="shared" si="0"/>
        <v>64</v>
      </c>
      <c r="J2" s="1">
        <f t="shared" si="0"/>
        <v>128</v>
      </c>
      <c r="K2" s="1">
        <f t="shared" si="0"/>
        <v>256</v>
      </c>
      <c r="L2" s="1">
        <f t="shared" si="0"/>
        <v>1024</v>
      </c>
      <c r="M2" s="1">
        <f>SUM(C2:L2)</f>
        <v>1535</v>
      </c>
    </row>
    <row r="3" spans="1:13" x14ac:dyDescent="0.3">
      <c r="A3" s="1" t="s">
        <v>17</v>
      </c>
      <c r="B3" s="1" t="s">
        <v>19</v>
      </c>
      <c r="C3" s="1" t="s">
        <v>37</v>
      </c>
      <c r="D3" s="1" t="s">
        <v>41</v>
      </c>
      <c r="E3" s="1" t="s">
        <v>36</v>
      </c>
      <c r="F3" s="1" t="s">
        <v>42</v>
      </c>
      <c r="G3" s="1" t="s">
        <v>38</v>
      </c>
      <c r="H3" s="1" t="s">
        <v>43</v>
      </c>
      <c r="I3" s="1" t="s">
        <v>40</v>
      </c>
      <c r="J3" s="1" t="s">
        <v>44</v>
      </c>
      <c r="K3" s="1" t="s">
        <v>45</v>
      </c>
      <c r="L3" s="1" t="s">
        <v>39</v>
      </c>
      <c r="M3" s="2" t="s">
        <v>46</v>
      </c>
    </row>
    <row r="4" spans="1:13" x14ac:dyDescent="0.3">
      <c r="A4" s="1" t="s">
        <v>35</v>
      </c>
      <c r="B4" s="1">
        <v>44</v>
      </c>
      <c r="C4" s="1" t="s">
        <v>14</v>
      </c>
      <c r="D4" s="1" t="s">
        <v>14</v>
      </c>
      <c r="E4" s="1" t="s">
        <v>14</v>
      </c>
      <c r="F4" s="1"/>
      <c r="G4" s="1"/>
      <c r="H4" s="1" t="s">
        <v>14</v>
      </c>
      <c r="I4" s="1" t="s">
        <v>14</v>
      </c>
      <c r="J4" s="1"/>
      <c r="K4" s="1"/>
      <c r="L4" s="1"/>
      <c r="M4" s="3">
        <f>SUM(IF(C4="x",$C$2,0),IF(D4="x",$D$2,0),IF(E4="x",$E$2,0),IF(F4="x",$F$2,0),IF(G4="x",$G$2,0),IF(H4="x",$H$2,0),IF(I4="x",$I$2,0),IF(J4="x",$J$2,0),IF(K4="x",$K$2,0),IF(L4="x",$L$2,0))</f>
        <v>103</v>
      </c>
    </row>
    <row r="5" spans="1:13" x14ac:dyDescent="0.3">
      <c r="A5" s="1" t="s">
        <v>34</v>
      </c>
      <c r="B5" s="1">
        <v>45</v>
      </c>
      <c r="C5" s="1" t="s">
        <v>14</v>
      </c>
      <c r="D5" s="1"/>
      <c r="E5" s="1" t="s">
        <v>14</v>
      </c>
      <c r="F5" s="1" t="s">
        <v>14</v>
      </c>
      <c r="G5" s="1"/>
      <c r="H5" s="1"/>
      <c r="I5" s="1"/>
      <c r="J5" s="1"/>
      <c r="K5" s="1"/>
      <c r="L5" s="1"/>
      <c r="M5" s="3">
        <f t="shared" ref="M5:M20" si="1">SUM(IF(C5="x",$C$2,0),IF(D5="x",$D$2,0),IF(E5="x",$E$2,0),IF(F5="x",$F$2,0),IF(G5="x",$G$2,0),IF(H5="x",$H$2,0),IF(I5="x",$I$2,0),IF(J5="x",$J$2,0),IF(K5="x",$K$2,0),IF(L5="x",$L$2,0))</f>
        <v>13</v>
      </c>
    </row>
    <row r="6" spans="1:13" x14ac:dyDescent="0.3">
      <c r="A6" s="1" t="s">
        <v>33</v>
      </c>
      <c r="B6" s="1">
        <v>226</v>
      </c>
      <c r="C6" s="1" t="s">
        <v>14</v>
      </c>
      <c r="D6" s="1"/>
      <c r="E6" s="1" t="s">
        <v>14</v>
      </c>
      <c r="F6" s="1" t="s">
        <v>14</v>
      </c>
      <c r="G6" s="1"/>
      <c r="H6" s="1"/>
      <c r="I6" s="1"/>
      <c r="J6" s="1"/>
      <c r="K6" s="1"/>
      <c r="L6" s="1"/>
      <c r="M6" s="3">
        <f t="shared" si="1"/>
        <v>13</v>
      </c>
    </row>
    <row r="7" spans="1:13" x14ac:dyDescent="0.3">
      <c r="A7" s="1" t="s">
        <v>31</v>
      </c>
      <c r="B7" s="1">
        <v>173</v>
      </c>
      <c r="C7" s="1" t="s">
        <v>14</v>
      </c>
      <c r="D7" s="1"/>
      <c r="E7" s="1" t="s">
        <v>14</v>
      </c>
      <c r="F7" s="1" t="s">
        <v>14</v>
      </c>
      <c r="G7" s="1" t="s">
        <v>14</v>
      </c>
      <c r="H7" s="1"/>
      <c r="I7" s="1" t="s">
        <v>14</v>
      </c>
      <c r="J7" s="1" t="s">
        <v>14</v>
      </c>
      <c r="K7" s="1" t="s">
        <v>14</v>
      </c>
      <c r="L7" s="1" t="s">
        <v>14</v>
      </c>
      <c r="M7" s="3">
        <f t="shared" si="1"/>
        <v>1501</v>
      </c>
    </row>
    <row r="8" spans="1:13" x14ac:dyDescent="0.3">
      <c r="A8" s="1" t="s">
        <v>30</v>
      </c>
      <c r="B8" s="1">
        <v>473</v>
      </c>
      <c r="C8" s="1" t="s">
        <v>14</v>
      </c>
      <c r="D8" s="1"/>
      <c r="E8" s="1" t="s">
        <v>14</v>
      </c>
      <c r="F8" s="1" t="s">
        <v>14</v>
      </c>
      <c r="G8" s="1"/>
      <c r="H8" s="1"/>
      <c r="I8" s="1" t="s">
        <v>14</v>
      </c>
      <c r="J8" s="1"/>
      <c r="K8" s="1"/>
      <c r="L8" s="1" t="s">
        <v>14</v>
      </c>
      <c r="M8" s="3">
        <f t="shared" si="1"/>
        <v>1101</v>
      </c>
    </row>
    <row r="9" spans="1:13" x14ac:dyDescent="0.3">
      <c r="A9" s="1" t="s">
        <v>32</v>
      </c>
      <c r="B9" s="1">
        <v>46</v>
      </c>
      <c r="C9" s="1" t="s">
        <v>14</v>
      </c>
      <c r="D9" s="1"/>
      <c r="E9" s="1" t="s">
        <v>14</v>
      </c>
      <c r="F9" s="1" t="s">
        <v>14</v>
      </c>
      <c r="G9" s="1"/>
      <c r="H9" s="1"/>
      <c r="I9" s="1"/>
      <c r="J9" s="1"/>
      <c r="K9" s="1"/>
      <c r="L9" s="1"/>
      <c r="M9" s="3">
        <f t="shared" si="1"/>
        <v>13</v>
      </c>
    </row>
    <row r="10" spans="1:13" x14ac:dyDescent="0.3">
      <c r="A10" s="1" t="s">
        <v>29</v>
      </c>
      <c r="B10" s="1">
        <v>54</v>
      </c>
      <c r="C10" s="1" t="s">
        <v>14</v>
      </c>
      <c r="D10" s="1" t="s">
        <v>14</v>
      </c>
      <c r="E10" s="1"/>
      <c r="F10" s="1" t="s">
        <v>14</v>
      </c>
      <c r="G10" s="1" t="s">
        <v>14</v>
      </c>
      <c r="H10" s="1" t="s">
        <v>14</v>
      </c>
      <c r="I10" s="1" t="s">
        <v>14</v>
      </c>
      <c r="J10" s="1"/>
      <c r="K10" s="1"/>
      <c r="L10" s="1" t="s">
        <v>14</v>
      </c>
      <c r="M10" s="3">
        <f t="shared" si="1"/>
        <v>1147</v>
      </c>
    </row>
    <row r="11" spans="1:13" x14ac:dyDescent="0.3">
      <c r="A11" s="1" t="s">
        <v>28</v>
      </c>
      <c r="B11" s="1">
        <v>229</v>
      </c>
      <c r="C11" s="1" t="s">
        <v>14</v>
      </c>
      <c r="D11" s="1" t="s">
        <v>14</v>
      </c>
      <c r="E11" s="1" t="s">
        <v>14</v>
      </c>
      <c r="F11" s="1"/>
      <c r="G11" s="1"/>
      <c r="H11" s="1" t="s">
        <v>14</v>
      </c>
      <c r="I11" s="1"/>
      <c r="J11" s="1"/>
      <c r="K11" s="1"/>
      <c r="L11" s="1"/>
      <c r="M11" s="3">
        <f t="shared" si="1"/>
        <v>39</v>
      </c>
    </row>
    <row r="12" spans="1:13" x14ac:dyDescent="0.3">
      <c r="A12" s="1" t="s">
        <v>27</v>
      </c>
      <c r="B12" s="1">
        <v>433</v>
      </c>
      <c r="C12" s="1" t="s">
        <v>14</v>
      </c>
      <c r="D12" s="1" t="s">
        <v>14</v>
      </c>
      <c r="E12" s="1"/>
      <c r="F12" s="1"/>
      <c r="G12" s="1"/>
      <c r="H12" s="1"/>
      <c r="I12" s="1" t="s">
        <v>14</v>
      </c>
      <c r="J12" s="1"/>
      <c r="K12" s="1"/>
      <c r="L12" s="1"/>
      <c r="M12" s="3">
        <f t="shared" si="1"/>
        <v>67</v>
      </c>
    </row>
    <row r="13" spans="1:13" x14ac:dyDescent="0.3">
      <c r="A13" s="1" t="s">
        <v>26</v>
      </c>
      <c r="B13" s="1">
        <v>136</v>
      </c>
      <c r="C13" s="1" t="s">
        <v>14</v>
      </c>
      <c r="D13" s="1"/>
      <c r="E13" s="1" t="s">
        <v>14</v>
      </c>
      <c r="F13" s="1"/>
      <c r="G13" s="1" t="s">
        <v>14</v>
      </c>
      <c r="H13" s="1"/>
      <c r="I13" s="1" t="s">
        <v>14</v>
      </c>
      <c r="J13" s="1" t="s">
        <v>14</v>
      </c>
      <c r="K13" s="1" t="s">
        <v>14</v>
      </c>
      <c r="L13" s="1" t="s">
        <v>14</v>
      </c>
      <c r="M13" s="3">
        <f t="shared" si="1"/>
        <v>1493</v>
      </c>
    </row>
    <row r="14" spans="1:13" x14ac:dyDescent="0.3">
      <c r="A14" s="1" t="s">
        <v>25</v>
      </c>
      <c r="B14" s="1">
        <v>43</v>
      </c>
      <c r="C14" s="1" t="s">
        <v>14</v>
      </c>
      <c r="D14" s="1" t="s">
        <v>14</v>
      </c>
      <c r="E14" s="1" t="s">
        <v>14</v>
      </c>
      <c r="F14" s="1" t="s">
        <v>14</v>
      </c>
      <c r="G14" s="1"/>
      <c r="H14" s="1" t="s">
        <v>14</v>
      </c>
      <c r="I14" s="1"/>
      <c r="J14" s="1" t="s">
        <v>14</v>
      </c>
      <c r="K14" s="1" t="s">
        <v>14</v>
      </c>
      <c r="L14" s="1"/>
      <c r="M14" s="3">
        <f t="shared" si="1"/>
        <v>431</v>
      </c>
    </row>
    <row r="15" spans="1:13" x14ac:dyDescent="0.3">
      <c r="A15" s="1" t="s">
        <v>24</v>
      </c>
      <c r="B15" s="1">
        <v>176</v>
      </c>
      <c r="C15" s="1" t="s">
        <v>14</v>
      </c>
      <c r="D15" s="1"/>
      <c r="E15" s="1"/>
      <c r="F15" s="1" t="s">
        <v>14</v>
      </c>
      <c r="G15" s="1"/>
      <c r="H15" s="1"/>
      <c r="I15" s="1"/>
      <c r="J15" s="1"/>
      <c r="K15" s="1"/>
      <c r="L15" s="1"/>
      <c r="M15" s="3">
        <f t="shared" si="1"/>
        <v>9</v>
      </c>
    </row>
    <row r="16" spans="1:13" x14ac:dyDescent="0.3">
      <c r="A16" s="1" t="s">
        <v>18</v>
      </c>
      <c r="B16" s="1">
        <v>172</v>
      </c>
      <c r="C16" s="1" t="s">
        <v>14</v>
      </c>
      <c r="D16" s="1" t="s">
        <v>14</v>
      </c>
      <c r="E16" s="1" t="s">
        <v>14</v>
      </c>
      <c r="F16" s="1"/>
      <c r="G16" s="1"/>
      <c r="H16" s="1" t="s">
        <v>14</v>
      </c>
      <c r="I16" s="1" t="s">
        <v>14</v>
      </c>
      <c r="J16" s="1"/>
      <c r="K16" s="1"/>
      <c r="L16" s="1"/>
      <c r="M16" s="3">
        <f t="shared" si="1"/>
        <v>103</v>
      </c>
    </row>
    <row r="17" spans="1:13" x14ac:dyDescent="0.3">
      <c r="A17" s="1" t="s">
        <v>20</v>
      </c>
      <c r="B17" s="1">
        <v>160</v>
      </c>
      <c r="C17" s="1" t="s">
        <v>14</v>
      </c>
      <c r="D17" s="1" t="s">
        <v>14</v>
      </c>
      <c r="E17" s="1"/>
      <c r="F17" s="1"/>
      <c r="G17" s="1"/>
      <c r="H17" s="1" t="s">
        <v>14</v>
      </c>
      <c r="I17" s="1" t="s">
        <v>14</v>
      </c>
      <c r="J17" s="1"/>
      <c r="K17" s="1"/>
      <c r="L17" s="1" t="s">
        <v>14</v>
      </c>
      <c r="M17" s="3">
        <f t="shared" si="1"/>
        <v>1123</v>
      </c>
    </row>
    <row r="18" spans="1:13" x14ac:dyDescent="0.3">
      <c r="A18" s="1" t="s">
        <v>21</v>
      </c>
      <c r="B18" s="1">
        <v>55</v>
      </c>
      <c r="C18" s="1" t="s">
        <v>14</v>
      </c>
      <c r="D18" s="1" t="s">
        <v>14</v>
      </c>
      <c r="E18" s="1" t="s">
        <v>14</v>
      </c>
      <c r="F18" s="1"/>
      <c r="G18" s="1"/>
      <c r="H18" s="1" t="s">
        <v>14</v>
      </c>
      <c r="I18" s="1"/>
      <c r="J18" s="1"/>
      <c r="K18" s="1"/>
      <c r="L18" s="1"/>
      <c r="M18" s="3">
        <f t="shared" si="1"/>
        <v>39</v>
      </c>
    </row>
    <row r="19" spans="1:13" x14ac:dyDescent="0.3">
      <c r="A19" s="1" t="s">
        <v>22</v>
      </c>
      <c r="B19" s="1">
        <v>162</v>
      </c>
      <c r="C19" s="1" t="s">
        <v>14</v>
      </c>
      <c r="D19" s="1" t="s">
        <v>14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14</v>
      </c>
      <c r="J19" s="1" t="s">
        <v>14</v>
      </c>
      <c r="K19" s="1" t="s">
        <v>14</v>
      </c>
      <c r="L19" s="1" t="s">
        <v>14</v>
      </c>
      <c r="M19" s="3">
        <f>SUM(IF(C19="x",$C$2,0),IF(D19="x",$D$2,0),IF(E19="x",$E$2,0),IF(F19="x",$F$2,0),IF(G19="x",$G$2,0),IF(H19="x",$H$2,0),IF(I19="x",$I$2,0),IF(J19="x",$J$2,0),IF(K19="x",$K$2,0),IF(L19="x",$L$2,0))</f>
        <v>1535</v>
      </c>
    </row>
    <row r="20" spans="1:13" x14ac:dyDescent="0.3">
      <c r="A20" s="1" t="s">
        <v>23</v>
      </c>
      <c r="B20" s="1">
        <v>228</v>
      </c>
      <c r="C20" s="1"/>
      <c r="D20" s="1"/>
      <c r="E20" s="1"/>
      <c r="F20" s="1"/>
      <c r="G20" s="1" t="s">
        <v>14</v>
      </c>
      <c r="H20" s="1"/>
      <c r="I20" s="1"/>
      <c r="J20" s="1" t="s">
        <v>14</v>
      </c>
      <c r="K20" s="1" t="s">
        <v>14</v>
      </c>
      <c r="L20" s="1"/>
      <c r="M20" s="3">
        <f t="shared" si="1"/>
        <v>400</v>
      </c>
    </row>
  </sheetData>
  <autoFilter ref="A3:B3" xr:uid="{6EA75A47-7F84-4837-99EA-E1E053D382AD}">
    <sortState xmlns:xlrd2="http://schemas.microsoft.com/office/spreadsheetml/2017/richdata2" ref="A4:B20">
      <sortCondition ref="A3"/>
    </sortState>
  </autoFilter>
  <mergeCells count="2">
    <mergeCell ref="A1:B1"/>
    <mergeCell ref="A2:B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5B2D-5CB3-4AA7-9E81-14CDAC14B018}">
  <dimension ref="A1:N304"/>
  <sheetViews>
    <sheetView topLeftCell="A277" zoomScaleNormal="100" workbookViewId="0">
      <selection activeCell="D298" sqref="D298"/>
    </sheetView>
  </sheetViews>
  <sheetFormatPr defaultRowHeight="14.4" x14ac:dyDescent="0.3"/>
  <cols>
    <col min="1" max="1" width="11" bestFit="1" customWidth="1"/>
    <col min="2" max="2" width="7.77734375" bestFit="1" customWidth="1"/>
    <col min="3" max="3" width="6.88671875" bestFit="1" customWidth="1"/>
    <col min="4" max="4" width="7.88671875" bestFit="1" customWidth="1"/>
    <col min="5" max="6" width="6.77734375" bestFit="1" customWidth="1"/>
    <col min="7" max="7" width="11.33203125" bestFit="1" customWidth="1"/>
    <col min="8" max="8" width="7.44140625" bestFit="1" customWidth="1"/>
    <col min="9" max="9" width="6.77734375" bestFit="1" customWidth="1"/>
    <col min="10" max="10" width="7.77734375" bestFit="1" customWidth="1"/>
    <col min="11" max="11" width="7.88671875" bestFit="1" customWidth="1"/>
    <col min="12" max="12" width="6.33203125" bestFit="1" customWidth="1"/>
    <col min="13" max="13" width="5.6640625" bestFit="1" customWidth="1"/>
    <col min="14" max="14" width="52.77734375" bestFit="1" customWidth="1"/>
  </cols>
  <sheetData>
    <row r="1" spans="1:14" x14ac:dyDescent="0.3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4" x14ac:dyDescent="0.3">
      <c r="A2" s="1" t="s">
        <v>12</v>
      </c>
      <c r="B2" s="1" t="s">
        <v>37</v>
      </c>
      <c r="C2" s="1" t="s">
        <v>41</v>
      </c>
      <c r="D2" s="1" t="s">
        <v>36</v>
      </c>
      <c r="E2" s="1" t="s">
        <v>42</v>
      </c>
      <c r="F2" s="1" t="s">
        <v>38</v>
      </c>
      <c r="G2" s="1" t="s">
        <v>43</v>
      </c>
      <c r="H2" s="1" t="s">
        <v>40</v>
      </c>
      <c r="I2" s="1" t="s">
        <v>44</v>
      </c>
      <c r="J2" s="1" t="s">
        <v>45</v>
      </c>
      <c r="K2" s="1" t="s">
        <v>39</v>
      </c>
      <c r="L2" s="1" t="s">
        <v>16</v>
      </c>
      <c r="M2" s="1" t="s">
        <v>15</v>
      </c>
    </row>
    <row r="3" spans="1:14" x14ac:dyDescent="0.3">
      <c r="A3" s="1" t="s">
        <v>0</v>
      </c>
      <c r="B3" s="1" t="s">
        <v>14</v>
      </c>
      <c r="C3" s="1" t="s">
        <v>14</v>
      </c>
      <c r="D3" s="8"/>
      <c r="E3" s="1" t="s">
        <v>14</v>
      </c>
      <c r="F3" s="1" t="s">
        <v>14</v>
      </c>
      <c r="G3" s="1" t="s">
        <v>14</v>
      </c>
      <c r="H3" s="8"/>
      <c r="I3" s="1" t="s">
        <v>14</v>
      </c>
      <c r="J3" s="1" t="s">
        <v>14</v>
      </c>
      <c r="K3" s="8"/>
      <c r="L3" s="1">
        <v>1</v>
      </c>
      <c r="M3" s="1">
        <f t="shared" ref="M3:M14" si="0">POWER(2,L3-1)</f>
        <v>1</v>
      </c>
      <c r="N3" t="s">
        <v>70</v>
      </c>
    </row>
    <row r="4" spans="1:14" x14ac:dyDescent="0.3">
      <c r="A4" s="1" t="s">
        <v>1</v>
      </c>
      <c r="B4" s="1" t="s">
        <v>14</v>
      </c>
      <c r="C4" s="8"/>
      <c r="D4" s="1" t="s">
        <v>14</v>
      </c>
      <c r="E4" s="1" t="s">
        <v>14</v>
      </c>
      <c r="F4" s="8"/>
      <c r="G4" s="1" t="s">
        <v>14</v>
      </c>
      <c r="H4" s="1" t="s">
        <v>14</v>
      </c>
      <c r="I4" s="8"/>
      <c r="J4" s="1" t="s">
        <v>14</v>
      </c>
      <c r="K4" s="8"/>
      <c r="L4" s="1">
        <v>2</v>
      </c>
      <c r="M4" s="1">
        <f t="shared" si="0"/>
        <v>2</v>
      </c>
      <c r="N4" s="5" t="s">
        <v>71</v>
      </c>
    </row>
    <row r="5" spans="1:14" x14ac:dyDescent="0.3">
      <c r="A5" s="1" t="s">
        <v>2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8"/>
      <c r="I5" s="8"/>
      <c r="J5" s="8"/>
      <c r="K5" s="8"/>
      <c r="L5" s="1">
        <v>3</v>
      </c>
      <c r="M5" s="1">
        <f t="shared" si="0"/>
        <v>4</v>
      </c>
      <c r="N5" s="7" t="s">
        <v>73</v>
      </c>
    </row>
    <row r="6" spans="1:14" x14ac:dyDescent="0.3">
      <c r="A6" s="1" t="s">
        <v>3</v>
      </c>
      <c r="B6" s="1" t="s">
        <v>14</v>
      </c>
      <c r="C6" s="8"/>
      <c r="D6" s="1" t="s">
        <v>14</v>
      </c>
      <c r="E6" s="1" t="s">
        <v>14</v>
      </c>
      <c r="F6" s="1" t="s">
        <v>14</v>
      </c>
      <c r="G6" s="1" t="s">
        <v>14</v>
      </c>
      <c r="H6" s="8"/>
      <c r="I6" s="8"/>
      <c r="J6" s="8"/>
      <c r="K6" s="1" t="s">
        <v>14</v>
      </c>
      <c r="L6" s="1">
        <v>4</v>
      </c>
      <c r="M6" s="1">
        <f t="shared" si="0"/>
        <v>8</v>
      </c>
      <c r="N6" s="6" t="s">
        <v>72</v>
      </c>
    </row>
    <row r="7" spans="1:14" x14ac:dyDescent="0.3">
      <c r="A7" s="1" t="s">
        <v>4</v>
      </c>
      <c r="B7" s="1" t="s">
        <v>14</v>
      </c>
      <c r="C7" s="8"/>
      <c r="D7" s="8"/>
      <c r="E7" s="1" t="s">
        <v>14</v>
      </c>
      <c r="F7" s="1" t="s">
        <v>14</v>
      </c>
      <c r="G7" s="1" t="s">
        <v>14</v>
      </c>
      <c r="H7" s="8"/>
      <c r="I7" s="1" t="s">
        <v>14</v>
      </c>
      <c r="J7" s="1" t="s">
        <v>14</v>
      </c>
      <c r="K7" s="8"/>
      <c r="L7" s="1">
        <v>5</v>
      </c>
      <c r="M7" s="1">
        <f t="shared" si="0"/>
        <v>16</v>
      </c>
    </row>
    <row r="8" spans="1:14" x14ac:dyDescent="0.3">
      <c r="A8" s="1" t="s">
        <v>5</v>
      </c>
      <c r="B8" s="1" t="s">
        <v>14</v>
      </c>
      <c r="C8" s="8"/>
      <c r="D8" s="1" t="s">
        <v>14</v>
      </c>
      <c r="E8" s="8"/>
      <c r="F8" s="8"/>
      <c r="G8" s="1" t="s">
        <v>14</v>
      </c>
      <c r="H8" s="1" t="s">
        <v>14</v>
      </c>
      <c r="I8" s="8"/>
      <c r="J8" s="8"/>
      <c r="K8" s="1" t="s">
        <v>14</v>
      </c>
      <c r="L8" s="1">
        <v>6</v>
      </c>
      <c r="M8" s="1">
        <f t="shared" si="0"/>
        <v>32</v>
      </c>
    </row>
    <row r="9" spans="1:14" x14ac:dyDescent="0.3">
      <c r="A9" s="1" t="s">
        <v>6</v>
      </c>
      <c r="B9" s="1" t="s">
        <v>14</v>
      </c>
      <c r="C9" s="8"/>
      <c r="D9" s="8"/>
      <c r="E9" s="1" t="s">
        <v>14</v>
      </c>
      <c r="F9" s="8"/>
      <c r="G9" s="1" t="s">
        <v>14</v>
      </c>
      <c r="H9" s="8"/>
      <c r="I9" s="1" t="s">
        <v>14</v>
      </c>
      <c r="J9" s="1" t="s">
        <v>14</v>
      </c>
      <c r="K9" s="8"/>
      <c r="L9" s="1">
        <v>7</v>
      </c>
      <c r="M9" s="1">
        <f t="shared" si="0"/>
        <v>64</v>
      </c>
    </row>
    <row r="10" spans="1:14" x14ac:dyDescent="0.3">
      <c r="A10" s="1" t="s">
        <v>7</v>
      </c>
      <c r="B10" s="1" t="s">
        <v>14</v>
      </c>
      <c r="C10" s="8"/>
      <c r="D10" s="1" t="s">
        <v>14</v>
      </c>
      <c r="E10" s="1" t="s">
        <v>14</v>
      </c>
      <c r="F10" s="1" t="s">
        <v>14</v>
      </c>
      <c r="G10" s="1" t="s">
        <v>14</v>
      </c>
      <c r="H10" s="1" t="s">
        <v>14</v>
      </c>
      <c r="I10" s="1" t="s">
        <v>14</v>
      </c>
      <c r="J10" s="8"/>
      <c r="K10" s="8"/>
      <c r="L10" s="1">
        <v>8</v>
      </c>
      <c r="M10" s="1">
        <f t="shared" si="0"/>
        <v>128</v>
      </c>
    </row>
    <row r="11" spans="1:14" x14ac:dyDescent="0.3">
      <c r="A11" s="1" t="s">
        <v>8</v>
      </c>
      <c r="B11" s="1" t="s">
        <v>48</v>
      </c>
      <c r="C11" s="8"/>
      <c r="D11" s="1" t="s">
        <v>49</v>
      </c>
      <c r="E11" s="1" t="s">
        <v>48</v>
      </c>
      <c r="F11" s="1" t="s">
        <v>50</v>
      </c>
      <c r="G11" s="1" t="s">
        <v>14</v>
      </c>
      <c r="H11" s="1" t="s">
        <v>48</v>
      </c>
      <c r="I11" s="1" t="s">
        <v>50</v>
      </c>
      <c r="J11" s="1" t="s">
        <v>48</v>
      </c>
      <c r="K11" s="8"/>
      <c r="L11" s="1">
        <v>9</v>
      </c>
      <c r="M11" s="1">
        <f t="shared" si="0"/>
        <v>256</v>
      </c>
    </row>
    <row r="12" spans="1:14" x14ac:dyDescent="0.3">
      <c r="A12" s="1" t="s">
        <v>9</v>
      </c>
      <c r="B12" s="8"/>
      <c r="C12" s="1" t="s">
        <v>14</v>
      </c>
      <c r="D12" s="1" t="s">
        <v>14</v>
      </c>
      <c r="E12" s="1" t="s">
        <v>14</v>
      </c>
      <c r="F12" s="1" t="s">
        <v>14</v>
      </c>
      <c r="G12" s="1" t="s">
        <v>14</v>
      </c>
      <c r="H12" s="8"/>
      <c r="I12" s="1" t="s">
        <v>14</v>
      </c>
      <c r="J12" s="1" t="s">
        <v>14</v>
      </c>
      <c r="K12" s="8"/>
      <c r="L12" s="1">
        <v>10</v>
      </c>
      <c r="M12" s="1">
        <f t="shared" si="0"/>
        <v>512</v>
      </c>
    </row>
    <row r="13" spans="1:14" x14ac:dyDescent="0.3">
      <c r="A13" s="1" t="s">
        <v>10</v>
      </c>
      <c r="B13" s="1" t="s">
        <v>14</v>
      </c>
      <c r="C13" s="1" t="s">
        <v>14</v>
      </c>
      <c r="D13" s="1" t="s">
        <v>14</v>
      </c>
      <c r="E13" s="8"/>
      <c r="F13" s="1" t="s">
        <v>14</v>
      </c>
      <c r="G13" s="1" t="s">
        <v>14</v>
      </c>
      <c r="H13" s="1" t="s">
        <v>14</v>
      </c>
      <c r="I13" s="1" t="s">
        <v>14</v>
      </c>
      <c r="J13" s="8"/>
      <c r="K13" s="8"/>
      <c r="L13" s="1">
        <v>11</v>
      </c>
      <c r="M13" s="1">
        <f t="shared" si="0"/>
        <v>1024</v>
      </c>
    </row>
    <row r="14" spans="1:14" x14ac:dyDescent="0.3">
      <c r="A14" s="1" t="s">
        <v>11</v>
      </c>
      <c r="B14" s="1" t="s">
        <v>51</v>
      </c>
      <c r="C14" s="8"/>
      <c r="D14" s="1" t="s">
        <v>52</v>
      </c>
      <c r="E14" s="1" t="s">
        <v>51</v>
      </c>
      <c r="F14" s="1" t="s">
        <v>51</v>
      </c>
      <c r="G14" s="1" t="s">
        <v>14</v>
      </c>
      <c r="H14" s="8"/>
      <c r="I14" s="1" t="s">
        <v>51</v>
      </c>
      <c r="J14" s="1" t="s">
        <v>51</v>
      </c>
      <c r="K14" s="1" t="s">
        <v>52</v>
      </c>
      <c r="L14" s="1">
        <v>12</v>
      </c>
      <c r="M14" s="1">
        <f t="shared" si="0"/>
        <v>2048</v>
      </c>
    </row>
    <row r="15" spans="1:14" x14ac:dyDescent="0.3">
      <c r="A15" s="1" t="s">
        <v>75</v>
      </c>
      <c r="B15" s="1">
        <f t="shared" ref="B15:K15" si="1">SUMIFS($M$3:$M$14,B3:B14,"&lt;&gt;")</f>
        <v>3583</v>
      </c>
      <c r="C15" s="1">
        <f t="shared" si="1"/>
        <v>1541</v>
      </c>
      <c r="D15" s="1">
        <f t="shared" si="1"/>
        <v>4014</v>
      </c>
      <c r="E15" s="1">
        <f t="shared" si="1"/>
        <v>3039</v>
      </c>
      <c r="F15" s="1">
        <f t="shared" si="1"/>
        <v>3997</v>
      </c>
      <c r="G15" s="1">
        <f t="shared" si="1"/>
        <v>4095</v>
      </c>
      <c r="H15" s="1">
        <f t="shared" si="1"/>
        <v>1442</v>
      </c>
      <c r="I15" s="1">
        <f t="shared" si="1"/>
        <v>4049</v>
      </c>
      <c r="J15" s="1">
        <f t="shared" si="1"/>
        <v>2899</v>
      </c>
      <c r="K15" s="1">
        <f t="shared" si="1"/>
        <v>2088</v>
      </c>
    </row>
    <row r="17" spans="1:11" x14ac:dyDescent="0.3">
      <c r="A17" s="11" t="s">
        <v>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 x14ac:dyDescent="0.3">
      <c r="A18" s="9" t="s">
        <v>74</v>
      </c>
      <c r="B18" s="1">
        <v>1</v>
      </c>
      <c r="C18" s="1">
        <v>2</v>
      </c>
      <c r="D18" s="1">
        <v>4</v>
      </c>
      <c r="E18" s="1">
        <v>8</v>
      </c>
      <c r="F18" s="1">
        <v>16</v>
      </c>
      <c r="G18" s="1">
        <v>32</v>
      </c>
      <c r="H18" s="1">
        <v>64</v>
      </c>
      <c r="I18" s="1">
        <v>128</v>
      </c>
      <c r="J18" s="1">
        <v>256</v>
      </c>
      <c r="K18" s="1">
        <v>1024</v>
      </c>
    </row>
    <row r="19" spans="1:11" x14ac:dyDescent="0.3">
      <c r="A19" s="1" t="s">
        <v>12</v>
      </c>
      <c r="B19" s="1" t="s">
        <v>37</v>
      </c>
      <c r="C19" s="1" t="s">
        <v>41</v>
      </c>
      <c r="D19" s="1" t="s">
        <v>36</v>
      </c>
      <c r="E19" s="1" t="s">
        <v>42</v>
      </c>
      <c r="F19" s="1" t="s">
        <v>38</v>
      </c>
      <c r="G19" s="1" t="s">
        <v>43</v>
      </c>
      <c r="H19" s="1" t="s">
        <v>40</v>
      </c>
      <c r="I19" s="1" t="s">
        <v>44</v>
      </c>
      <c r="J19" s="1" t="s">
        <v>45</v>
      </c>
      <c r="K19" s="1" t="s">
        <v>39</v>
      </c>
    </row>
    <row r="20" spans="1:11" x14ac:dyDescent="0.3">
      <c r="A20" s="1" t="s">
        <v>0</v>
      </c>
      <c r="B20" s="4" t="s">
        <v>14</v>
      </c>
      <c r="C20" s="8"/>
      <c r="D20" s="8"/>
      <c r="E20" s="8"/>
      <c r="F20" s="8"/>
      <c r="G20" s="4" t="s">
        <v>14</v>
      </c>
      <c r="H20" s="8"/>
      <c r="I20" s="8"/>
      <c r="J20" s="8"/>
      <c r="K20" s="8"/>
    </row>
    <row r="21" spans="1:11" x14ac:dyDescent="0.3">
      <c r="A21" s="1" t="s">
        <v>1</v>
      </c>
      <c r="B21" s="4" t="s">
        <v>14</v>
      </c>
      <c r="C21" s="8"/>
      <c r="D21" s="4" t="s">
        <v>14</v>
      </c>
      <c r="E21" s="8"/>
      <c r="F21" s="8"/>
      <c r="G21" s="4" t="s">
        <v>14</v>
      </c>
      <c r="H21" s="8"/>
      <c r="I21" s="8"/>
      <c r="J21" s="8"/>
      <c r="K21" s="8"/>
    </row>
    <row r="22" spans="1:11" x14ac:dyDescent="0.3">
      <c r="A22" s="1" t="s">
        <v>2</v>
      </c>
      <c r="B22" s="4" t="s">
        <v>14</v>
      </c>
      <c r="C22" s="8"/>
      <c r="D22" s="4" t="s">
        <v>14</v>
      </c>
      <c r="E22" s="8"/>
      <c r="F22" s="8"/>
      <c r="G22" s="4" t="s">
        <v>14</v>
      </c>
      <c r="H22" s="8"/>
      <c r="I22" s="8"/>
      <c r="J22" s="8"/>
      <c r="K22" s="8"/>
    </row>
    <row r="23" spans="1:11" x14ac:dyDescent="0.3">
      <c r="A23" s="1" t="s">
        <v>3</v>
      </c>
      <c r="B23" s="8"/>
      <c r="C23" s="8"/>
      <c r="D23" s="8"/>
      <c r="E23" s="8"/>
      <c r="F23" s="8"/>
      <c r="G23" s="4" t="s">
        <v>14</v>
      </c>
      <c r="H23" s="8"/>
      <c r="I23" s="8"/>
      <c r="J23" s="8"/>
      <c r="K23" s="8"/>
    </row>
    <row r="24" spans="1:11" x14ac:dyDescent="0.3">
      <c r="A24" s="1" t="s">
        <v>4</v>
      </c>
      <c r="B24" s="4" t="s">
        <v>14</v>
      </c>
      <c r="C24" s="8"/>
      <c r="D24" s="8"/>
      <c r="E24" s="8"/>
      <c r="F24" s="8"/>
      <c r="G24" s="4" t="s">
        <v>14</v>
      </c>
      <c r="H24" s="8"/>
      <c r="I24" s="8"/>
      <c r="J24" s="8"/>
      <c r="K24" s="8"/>
    </row>
    <row r="25" spans="1:11" x14ac:dyDescent="0.3">
      <c r="A25" s="1" t="s">
        <v>5</v>
      </c>
      <c r="B25" s="4" t="s">
        <v>14</v>
      </c>
      <c r="C25" s="8"/>
      <c r="D25" s="4" t="s">
        <v>14</v>
      </c>
      <c r="E25" s="8"/>
      <c r="F25" s="8"/>
      <c r="G25" s="4" t="s">
        <v>14</v>
      </c>
      <c r="H25" s="8"/>
      <c r="I25" s="8"/>
      <c r="J25" s="8"/>
      <c r="K25" s="8"/>
    </row>
    <row r="26" spans="1:11" x14ac:dyDescent="0.3">
      <c r="A26" s="1" t="s">
        <v>6</v>
      </c>
      <c r="B26" s="8"/>
      <c r="C26" s="8"/>
      <c r="D26" s="8"/>
      <c r="E26" s="8"/>
      <c r="F26" s="8"/>
      <c r="G26" s="4" t="s">
        <v>14</v>
      </c>
      <c r="H26" s="8"/>
      <c r="I26" s="8"/>
      <c r="J26" s="8"/>
      <c r="K26" s="8"/>
    </row>
    <row r="27" spans="1:11" x14ac:dyDescent="0.3">
      <c r="A27" s="1" t="s">
        <v>7</v>
      </c>
      <c r="B27" s="4" t="s">
        <v>14</v>
      </c>
      <c r="C27" s="8"/>
      <c r="D27" s="4" t="s">
        <v>14</v>
      </c>
      <c r="E27" s="8"/>
      <c r="F27" s="8"/>
      <c r="G27" s="4" t="s">
        <v>14</v>
      </c>
      <c r="H27" s="8"/>
      <c r="I27" s="8"/>
      <c r="J27" s="8"/>
      <c r="K27" s="8"/>
    </row>
    <row r="28" spans="1:11" x14ac:dyDescent="0.3">
      <c r="A28" s="1" t="s">
        <v>8</v>
      </c>
      <c r="B28" s="4" t="s">
        <v>14</v>
      </c>
      <c r="C28" s="8"/>
      <c r="D28" s="4" t="s">
        <v>14</v>
      </c>
      <c r="E28" s="8"/>
      <c r="F28" s="8"/>
      <c r="G28" s="4" t="s">
        <v>14</v>
      </c>
      <c r="H28" s="8"/>
      <c r="I28" s="8"/>
      <c r="J28" s="8"/>
      <c r="K28" s="8"/>
    </row>
    <row r="29" spans="1:11" x14ac:dyDescent="0.3">
      <c r="A29" s="1" t="s">
        <v>9</v>
      </c>
      <c r="B29" s="8"/>
      <c r="C29" s="8"/>
      <c r="D29" s="8"/>
      <c r="E29" s="8"/>
      <c r="F29" s="8"/>
      <c r="G29" s="4" t="s">
        <v>14</v>
      </c>
      <c r="H29" s="8"/>
      <c r="I29" s="8"/>
      <c r="J29" s="8"/>
      <c r="K29" s="8"/>
    </row>
    <row r="30" spans="1:11" x14ac:dyDescent="0.3">
      <c r="A30" s="1" t="s">
        <v>10</v>
      </c>
      <c r="B30" s="4" t="s">
        <v>14</v>
      </c>
      <c r="C30" s="8"/>
      <c r="D30" s="8"/>
      <c r="E30" s="8"/>
      <c r="F30" s="8"/>
      <c r="G30" s="4" t="s">
        <v>14</v>
      </c>
      <c r="H30" s="8"/>
      <c r="I30" s="8"/>
      <c r="J30" s="8"/>
      <c r="K30" s="8"/>
    </row>
    <row r="31" spans="1:11" x14ac:dyDescent="0.3">
      <c r="A31" s="1" t="s">
        <v>11</v>
      </c>
      <c r="B31" s="4" t="s">
        <v>14</v>
      </c>
      <c r="C31" s="8"/>
      <c r="D31" s="8"/>
      <c r="E31" s="8"/>
      <c r="F31" s="8"/>
      <c r="G31" s="4" t="s">
        <v>14</v>
      </c>
      <c r="H31" s="8"/>
      <c r="I31" s="8"/>
      <c r="J31" s="8"/>
      <c r="K31" s="8"/>
    </row>
    <row r="32" spans="1:11" x14ac:dyDescent="0.3">
      <c r="A32" s="1" t="s">
        <v>75</v>
      </c>
      <c r="B32" s="1">
        <f t="shared" ref="B32:K32" si="2">SUMIFS($M$3:$M$14,B20:B31,"&lt;&gt;")</f>
        <v>3511</v>
      </c>
      <c r="C32" s="1">
        <f t="shared" si="2"/>
        <v>0</v>
      </c>
      <c r="D32" s="1">
        <f t="shared" si="2"/>
        <v>422</v>
      </c>
      <c r="E32" s="1">
        <f t="shared" si="2"/>
        <v>0</v>
      </c>
      <c r="F32" s="1">
        <f t="shared" si="2"/>
        <v>0</v>
      </c>
      <c r="G32" s="1">
        <f t="shared" si="2"/>
        <v>4095</v>
      </c>
      <c r="H32" s="1">
        <f t="shared" si="2"/>
        <v>0</v>
      </c>
      <c r="I32" s="1">
        <f t="shared" si="2"/>
        <v>0</v>
      </c>
      <c r="J32" s="1">
        <f t="shared" si="2"/>
        <v>0</v>
      </c>
      <c r="K32" s="1">
        <f t="shared" si="2"/>
        <v>0</v>
      </c>
    </row>
    <row r="34" spans="1:11" x14ac:dyDescent="0.3">
      <c r="A34" s="11" t="s">
        <v>55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3">
      <c r="A35" s="9" t="s">
        <v>74</v>
      </c>
      <c r="B35" s="1">
        <v>1</v>
      </c>
      <c r="C35" s="1">
        <v>2</v>
      </c>
      <c r="D35" s="1">
        <v>4</v>
      </c>
      <c r="E35" s="1">
        <v>8</v>
      </c>
      <c r="F35" s="1">
        <v>16</v>
      </c>
      <c r="G35" s="1">
        <v>32</v>
      </c>
      <c r="H35" s="1">
        <v>64</v>
      </c>
      <c r="I35" s="1">
        <v>128</v>
      </c>
      <c r="J35" s="1">
        <v>256</v>
      </c>
      <c r="K35" s="1">
        <v>1024</v>
      </c>
    </row>
    <row r="36" spans="1:11" x14ac:dyDescent="0.3">
      <c r="A36" s="1" t="s">
        <v>12</v>
      </c>
      <c r="B36" s="1" t="s">
        <v>37</v>
      </c>
      <c r="C36" s="1" t="s">
        <v>41</v>
      </c>
      <c r="D36" s="1" t="s">
        <v>36</v>
      </c>
      <c r="E36" s="1" t="s">
        <v>42</v>
      </c>
      <c r="F36" s="1" t="s">
        <v>38</v>
      </c>
      <c r="G36" s="1" t="s">
        <v>43</v>
      </c>
      <c r="H36" s="1" t="s">
        <v>40</v>
      </c>
      <c r="I36" s="1" t="s">
        <v>44</v>
      </c>
      <c r="J36" s="1" t="s">
        <v>45</v>
      </c>
      <c r="K36" s="1" t="s">
        <v>39</v>
      </c>
    </row>
    <row r="37" spans="1:11" x14ac:dyDescent="0.3">
      <c r="A37" s="1" t="s">
        <v>0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3">
      <c r="A38" s="1" t="s">
        <v>1</v>
      </c>
      <c r="B38" s="8"/>
      <c r="C38" s="8"/>
      <c r="D38" s="4" t="s">
        <v>14</v>
      </c>
      <c r="E38" s="8"/>
      <c r="F38" s="8"/>
      <c r="G38" s="8"/>
      <c r="H38" s="8"/>
      <c r="I38" s="8"/>
      <c r="J38" s="8"/>
      <c r="K38" s="8"/>
    </row>
    <row r="39" spans="1:11" x14ac:dyDescent="0.3">
      <c r="A39" s="1" t="s">
        <v>2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3">
      <c r="A40" s="1" t="s">
        <v>3</v>
      </c>
      <c r="B40" s="8"/>
      <c r="C40" s="8"/>
      <c r="D40" s="4" t="s">
        <v>14</v>
      </c>
      <c r="E40" s="8"/>
      <c r="F40" s="8"/>
      <c r="G40" s="8"/>
      <c r="H40" s="8"/>
      <c r="I40" s="8"/>
      <c r="J40" s="8"/>
      <c r="K40" s="8"/>
    </row>
    <row r="41" spans="1:11" x14ac:dyDescent="0.3">
      <c r="A41" s="1" t="s">
        <v>4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3">
      <c r="A42" s="1" t="s">
        <v>5</v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3">
      <c r="A43" s="1" t="s">
        <v>6</v>
      </c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x14ac:dyDescent="0.3">
      <c r="A44" s="1" t="s">
        <v>7</v>
      </c>
      <c r="B44" s="8"/>
      <c r="C44" s="8"/>
      <c r="D44" s="4" t="s">
        <v>14</v>
      </c>
      <c r="E44" s="8"/>
      <c r="F44" s="8"/>
      <c r="G44" s="8"/>
      <c r="H44" s="8"/>
      <c r="I44" s="8"/>
      <c r="J44" s="8"/>
      <c r="K44" s="8"/>
    </row>
    <row r="45" spans="1:11" x14ac:dyDescent="0.3">
      <c r="A45" s="1" t="s">
        <v>8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x14ac:dyDescent="0.3">
      <c r="A46" s="1" t="s">
        <v>9</v>
      </c>
      <c r="B46" s="8"/>
      <c r="C46" s="8"/>
      <c r="D46" s="4" t="s">
        <v>14</v>
      </c>
      <c r="E46" s="8"/>
      <c r="F46" s="8"/>
      <c r="G46" s="8"/>
      <c r="H46" s="8"/>
      <c r="I46" s="8"/>
      <c r="J46" s="8"/>
      <c r="K46" s="8"/>
    </row>
    <row r="47" spans="1:11" x14ac:dyDescent="0.3">
      <c r="A47" s="1" t="s">
        <v>10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3">
      <c r="A48" s="1" t="s">
        <v>11</v>
      </c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1" t="s">
        <v>75</v>
      </c>
      <c r="B49" s="1">
        <f t="shared" ref="B49:K49" si="3">SUMIFS($M$3:$M$14,B37:B48,"&lt;&gt;")</f>
        <v>0</v>
      </c>
      <c r="C49" s="1">
        <f t="shared" si="3"/>
        <v>0</v>
      </c>
      <c r="D49" s="1">
        <f t="shared" si="3"/>
        <v>650</v>
      </c>
      <c r="E49" s="1">
        <f t="shared" si="3"/>
        <v>0</v>
      </c>
      <c r="F49" s="1">
        <f t="shared" si="3"/>
        <v>0</v>
      </c>
      <c r="G49" s="1">
        <f t="shared" si="3"/>
        <v>0</v>
      </c>
      <c r="H49" s="1">
        <f t="shared" si="3"/>
        <v>0</v>
      </c>
      <c r="I49" s="1">
        <f t="shared" si="3"/>
        <v>0</v>
      </c>
      <c r="J49" s="1">
        <f t="shared" si="3"/>
        <v>0</v>
      </c>
      <c r="K49" s="1">
        <f t="shared" si="3"/>
        <v>0</v>
      </c>
    </row>
    <row r="51" spans="1:11" x14ac:dyDescent="0.3">
      <c r="A51" s="11" t="s">
        <v>56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x14ac:dyDescent="0.3">
      <c r="A52" s="9" t="s">
        <v>74</v>
      </c>
      <c r="B52" s="1">
        <v>1</v>
      </c>
      <c r="C52" s="1">
        <v>2</v>
      </c>
      <c r="D52" s="1">
        <v>4</v>
      </c>
      <c r="E52" s="1">
        <v>8</v>
      </c>
      <c r="F52" s="1">
        <v>16</v>
      </c>
      <c r="G52" s="1">
        <v>32</v>
      </c>
      <c r="H52" s="1">
        <v>64</v>
      </c>
      <c r="I52" s="1">
        <v>128</v>
      </c>
      <c r="J52" s="1">
        <v>256</v>
      </c>
      <c r="K52" s="1">
        <v>1024</v>
      </c>
    </row>
    <row r="53" spans="1:11" x14ac:dyDescent="0.3">
      <c r="A53" s="1" t="s">
        <v>12</v>
      </c>
      <c r="B53" s="1" t="s">
        <v>37</v>
      </c>
      <c r="C53" s="1" t="s">
        <v>41</v>
      </c>
      <c r="D53" s="1" t="s">
        <v>36</v>
      </c>
      <c r="E53" s="1" t="s">
        <v>42</v>
      </c>
      <c r="F53" s="1" t="s">
        <v>38</v>
      </c>
      <c r="G53" s="1" t="s">
        <v>43</v>
      </c>
      <c r="H53" s="1" t="s">
        <v>40</v>
      </c>
      <c r="I53" s="1" t="s">
        <v>44</v>
      </c>
      <c r="J53" s="1" t="s">
        <v>45</v>
      </c>
      <c r="K53" s="1" t="s">
        <v>39</v>
      </c>
    </row>
    <row r="54" spans="1:11" x14ac:dyDescent="0.3">
      <c r="A54" s="1" t="s">
        <v>0</v>
      </c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1" t="s">
        <v>1</v>
      </c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1" t="s">
        <v>2</v>
      </c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1" t="s">
        <v>3</v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1" t="s">
        <v>4</v>
      </c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1" t="s">
        <v>5</v>
      </c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1" t="s">
        <v>6</v>
      </c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1" t="s">
        <v>7</v>
      </c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1" t="s">
        <v>8</v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1" t="s">
        <v>9</v>
      </c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1" t="s">
        <v>10</v>
      </c>
      <c r="B64" s="8"/>
      <c r="C64" s="8"/>
      <c r="D64" s="4" t="s">
        <v>14</v>
      </c>
      <c r="E64" s="8"/>
      <c r="F64" s="8"/>
      <c r="G64" s="8"/>
      <c r="H64" s="8"/>
      <c r="I64" s="8"/>
      <c r="J64" s="8"/>
      <c r="K64" s="8"/>
    </row>
    <row r="65" spans="1:11" x14ac:dyDescent="0.3">
      <c r="A65" s="1" t="s">
        <v>11</v>
      </c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1" t="s">
        <v>75</v>
      </c>
      <c r="B66" s="1">
        <f t="shared" ref="B66:K66" si="4">SUMIFS($M$3:$M$14,B54:B65,"&lt;&gt;")</f>
        <v>0</v>
      </c>
      <c r="C66" s="1">
        <f t="shared" si="4"/>
        <v>0</v>
      </c>
      <c r="D66" s="1">
        <f t="shared" si="4"/>
        <v>1024</v>
      </c>
      <c r="E66" s="1">
        <f t="shared" si="4"/>
        <v>0</v>
      </c>
      <c r="F66" s="1">
        <f t="shared" si="4"/>
        <v>0</v>
      </c>
      <c r="G66" s="1">
        <f t="shared" si="4"/>
        <v>0</v>
      </c>
      <c r="H66" s="1">
        <f t="shared" si="4"/>
        <v>0</v>
      </c>
      <c r="I66" s="1">
        <f t="shared" si="4"/>
        <v>0</v>
      </c>
      <c r="J66" s="1">
        <f t="shared" si="4"/>
        <v>0</v>
      </c>
      <c r="K66" s="1">
        <f t="shared" si="4"/>
        <v>0</v>
      </c>
    </row>
    <row r="68" spans="1:11" x14ac:dyDescent="0.3">
      <c r="A68" s="11" t="s">
        <v>76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pans="1:11" x14ac:dyDescent="0.3">
      <c r="A69" s="9" t="s">
        <v>74</v>
      </c>
      <c r="B69" s="1">
        <v>1</v>
      </c>
      <c r="C69" s="1">
        <v>2</v>
      </c>
      <c r="D69" s="1">
        <v>4</v>
      </c>
      <c r="E69" s="1">
        <v>8</v>
      </c>
      <c r="F69" s="1">
        <v>16</v>
      </c>
      <c r="G69" s="1">
        <v>32</v>
      </c>
      <c r="H69" s="1">
        <v>64</v>
      </c>
      <c r="I69" s="1">
        <v>128</v>
      </c>
      <c r="J69" s="1">
        <v>256</v>
      </c>
      <c r="K69" s="1">
        <v>1024</v>
      </c>
    </row>
    <row r="70" spans="1:11" x14ac:dyDescent="0.3">
      <c r="A70" s="1" t="s">
        <v>12</v>
      </c>
      <c r="B70" s="1" t="s">
        <v>37</v>
      </c>
      <c r="C70" s="1" t="s">
        <v>41</v>
      </c>
      <c r="D70" s="1" t="s">
        <v>36</v>
      </c>
      <c r="E70" s="1" t="s">
        <v>42</v>
      </c>
      <c r="F70" s="1" t="s">
        <v>38</v>
      </c>
      <c r="G70" s="1" t="s">
        <v>43</v>
      </c>
      <c r="H70" s="1" t="s">
        <v>40</v>
      </c>
      <c r="I70" s="1" t="s">
        <v>44</v>
      </c>
      <c r="J70" s="1" t="s">
        <v>45</v>
      </c>
      <c r="K70" s="1" t="s">
        <v>39</v>
      </c>
    </row>
    <row r="71" spans="1:11" x14ac:dyDescent="0.3">
      <c r="A71" s="1" t="s">
        <v>0</v>
      </c>
      <c r="B71" s="8"/>
      <c r="C71" s="8"/>
      <c r="D71" s="8"/>
      <c r="E71" s="4" t="s">
        <v>14</v>
      </c>
      <c r="F71" s="8"/>
      <c r="G71" s="8"/>
      <c r="H71" s="8"/>
      <c r="I71" s="8"/>
      <c r="J71" s="4" t="s">
        <v>14</v>
      </c>
      <c r="K71" s="8"/>
    </row>
    <row r="72" spans="1:11" x14ac:dyDescent="0.3">
      <c r="A72" s="1" t="s">
        <v>1</v>
      </c>
      <c r="B72" s="8"/>
      <c r="C72" s="8"/>
      <c r="D72" s="8"/>
      <c r="E72" s="4" t="s">
        <v>14</v>
      </c>
      <c r="F72" s="8"/>
      <c r="G72" s="8"/>
      <c r="H72" s="8"/>
      <c r="I72" s="8"/>
      <c r="J72" s="4" t="s">
        <v>14</v>
      </c>
      <c r="K72" s="8"/>
    </row>
    <row r="73" spans="1:11" x14ac:dyDescent="0.3">
      <c r="A73" s="1" t="s">
        <v>2</v>
      </c>
      <c r="B73" s="8"/>
      <c r="C73" s="8"/>
      <c r="D73" s="8"/>
      <c r="E73" s="4" t="s">
        <v>14</v>
      </c>
      <c r="F73" s="8"/>
      <c r="G73" s="8"/>
      <c r="H73" s="8"/>
      <c r="I73" s="8"/>
      <c r="J73" s="8"/>
      <c r="K73" s="8"/>
    </row>
    <row r="74" spans="1:11" x14ac:dyDescent="0.3">
      <c r="A74" s="1" t="s">
        <v>3</v>
      </c>
      <c r="B74" s="4" t="s">
        <v>14</v>
      </c>
      <c r="C74" s="8"/>
      <c r="D74" s="4" t="s">
        <v>14</v>
      </c>
      <c r="E74" s="4" t="s">
        <v>14</v>
      </c>
      <c r="F74" s="8"/>
      <c r="G74" s="8"/>
      <c r="H74" s="8"/>
      <c r="I74" s="8"/>
      <c r="J74" s="8"/>
      <c r="K74" s="4" t="s">
        <v>14</v>
      </c>
    </row>
    <row r="75" spans="1:11" x14ac:dyDescent="0.3">
      <c r="A75" s="1" t="s">
        <v>4</v>
      </c>
      <c r="B75" s="8"/>
      <c r="C75" s="8"/>
      <c r="D75" s="8"/>
      <c r="E75" s="4" t="s">
        <v>14</v>
      </c>
      <c r="F75" s="8"/>
      <c r="G75" s="8"/>
      <c r="H75" s="8"/>
      <c r="I75" s="8"/>
      <c r="J75" s="4" t="s">
        <v>14</v>
      </c>
      <c r="K75" s="8"/>
    </row>
    <row r="76" spans="1:11" x14ac:dyDescent="0.3">
      <c r="A76" s="1" t="s">
        <v>5</v>
      </c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1" t="s">
        <v>6</v>
      </c>
      <c r="B77" s="4" t="s">
        <v>14</v>
      </c>
      <c r="C77" s="8"/>
      <c r="D77" s="8"/>
      <c r="E77" s="4" t="s">
        <v>14</v>
      </c>
      <c r="F77" s="8"/>
      <c r="G77" s="8"/>
      <c r="H77" s="8"/>
      <c r="I77" s="8"/>
      <c r="J77" s="4" t="s">
        <v>14</v>
      </c>
      <c r="K77" s="8"/>
    </row>
    <row r="78" spans="1:11" x14ac:dyDescent="0.3">
      <c r="A78" s="1" t="s">
        <v>7</v>
      </c>
      <c r="B78" s="4" t="s">
        <v>14</v>
      </c>
      <c r="C78" s="8"/>
      <c r="D78" s="8"/>
      <c r="E78" s="4" t="s">
        <v>14</v>
      </c>
      <c r="F78" s="8"/>
      <c r="G78" s="8"/>
      <c r="H78" s="8"/>
      <c r="I78" s="8"/>
      <c r="J78" s="8"/>
      <c r="K78" s="8"/>
    </row>
    <row r="79" spans="1:11" x14ac:dyDescent="0.3">
      <c r="A79" s="1" t="s">
        <v>8</v>
      </c>
      <c r="B79" s="8"/>
      <c r="C79" s="8"/>
      <c r="D79" s="8"/>
      <c r="E79" s="4" t="s">
        <v>14</v>
      </c>
      <c r="F79" s="8"/>
      <c r="G79" s="8"/>
      <c r="H79" s="8"/>
      <c r="I79" s="8"/>
      <c r="J79" s="4" t="s">
        <v>14</v>
      </c>
      <c r="K79" s="8"/>
    </row>
    <row r="80" spans="1:11" x14ac:dyDescent="0.3">
      <c r="A80" s="1" t="s">
        <v>9</v>
      </c>
      <c r="B80" s="8"/>
      <c r="C80" s="8"/>
      <c r="D80" s="4" t="s">
        <v>14</v>
      </c>
      <c r="E80" s="4" t="s">
        <v>14</v>
      </c>
      <c r="F80" s="8"/>
      <c r="G80" s="8"/>
      <c r="H80" s="8"/>
      <c r="I80" s="8"/>
      <c r="J80" s="4" t="s">
        <v>14</v>
      </c>
      <c r="K80" s="8"/>
    </row>
    <row r="81" spans="1:11" x14ac:dyDescent="0.3">
      <c r="A81" s="1" t="s">
        <v>10</v>
      </c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1" t="s">
        <v>11</v>
      </c>
      <c r="B82" s="8"/>
      <c r="C82" s="8"/>
      <c r="D82" s="4" t="s">
        <v>14</v>
      </c>
      <c r="E82" s="4" t="s">
        <v>14</v>
      </c>
      <c r="F82" s="8"/>
      <c r="G82" s="8"/>
      <c r="H82" s="8"/>
      <c r="I82" s="8"/>
      <c r="J82" s="4" t="s">
        <v>14</v>
      </c>
      <c r="K82" s="4" t="s">
        <v>14</v>
      </c>
    </row>
    <row r="83" spans="1:11" x14ac:dyDescent="0.3">
      <c r="A83" s="1" t="s">
        <v>75</v>
      </c>
      <c r="B83" s="1">
        <f t="shared" ref="B83:K83" si="5">SUMIFS($M$3:$M$14,B71:B82,"&lt;&gt;")</f>
        <v>200</v>
      </c>
      <c r="C83" s="1">
        <f t="shared" si="5"/>
        <v>0</v>
      </c>
      <c r="D83" s="1">
        <f t="shared" si="5"/>
        <v>2568</v>
      </c>
      <c r="E83" s="1">
        <f t="shared" si="5"/>
        <v>3039</v>
      </c>
      <c r="F83" s="1">
        <f t="shared" si="5"/>
        <v>0</v>
      </c>
      <c r="G83" s="1">
        <f t="shared" si="5"/>
        <v>0</v>
      </c>
      <c r="H83" s="1">
        <f t="shared" si="5"/>
        <v>0</v>
      </c>
      <c r="I83" s="1">
        <f t="shared" si="5"/>
        <v>0</v>
      </c>
      <c r="J83" s="1">
        <f>SUMIFS($M$3:$M$14,J71:J82,"&lt;&gt;")</f>
        <v>2899</v>
      </c>
      <c r="K83" s="1">
        <f t="shared" si="5"/>
        <v>2056</v>
      </c>
    </row>
    <row r="85" spans="1:11" x14ac:dyDescent="0.3">
      <c r="A85" s="11" t="s">
        <v>57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x14ac:dyDescent="0.3">
      <c r="A86" s="9" t="s">
        <v>74</v>
      </c>
      <c r="B86" s="1">
        <v>1</v>
      </c>
      <c r="C86" s="1">
        <v>2</v>
      </c>
      <c r="D86" s="1">
        <v>4</v>
      </c>
      <c r="E86" s="1">
        <v>8</v>
      </c>
      <c r="F86" s="1">
        <v>16</v>
      </c>
      <c r="G86" s="1">
        <v>32</v>
      </c>
      <c r="H86" s="1">
        <v>64</v>
      </c>
      <c r="I86" s="1">
        <v>128</v>
      </c>
      <c r="J86" s="1">
        <v>256</v>
      </c>
      <c r="K86" s="1">
        <v>1024</v>
      </c>
    </row>
    <row r="87" spans="1:11" x14ac:dyDescent="0.3">
      <c r="A87" s="1" t="s">
        <v>12</v>
      </c>
      <c r="B87" s="1" t="s">
        <v>37</v>
      </c>
      <c r="C87" s="1" t="s">
        <v>41</v>
      </c>
      <c r="D87" s="1" t="s">
        <v>36</v>
      </c>
      <c r="E87" s="1" t="s">
        <v>42</v>
      </c>
      <c r="F87" s="1" t="s">
        <v>38</v>
      </c>
      <c r="G87" s="1" t="s">
        <v>43</v>
      </c>
      <c r="H87" s="1" t="s">
        <v>40</v>
      </c>
      <c r="I87" s="1" t="s">
        <v>44</v>
      </c>
      <c r="J87" s="1" t="s">
        <v>45</v>
      </c>
      <c r="K87" s="1" t="s">
        <v>39</v>
      </c>
    </row>
    <row r="88" spans="1:11" x14ac:dyDescent="0.3">
      <c r="A88" s="1" t="s">
        <v>0</v>
      </c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1" t="s">
        <v>1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3">
      <c r="A90" s="1" t="s">
        <v>2</v>
      </c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3">
      <c r="A91" s="1" t="s">
        <v>3</v>
      </c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x14ac:dyDescent="0.3">
      <c r="A92" s="1" t="s">
        <v>4</v>
      </c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3">
      <c r="A93" s="1" t="s">
        <v>5</v>
      </c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3">
      <c r="A94" s="1" t="s">
        <v>6</v>
      </c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x14ac:dyDescent="0.3">
      <c r="A95" s="1" t="s">
        <v>7</v>
      </c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x14ac:dyDescent="0.3">
      <c r="A96" s="1" t="s">
        <v>8</v>
      </c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x14ac:dyDescent="0.3">
      <c r="A97" s="1" t="s">
        <v>9</v>
      </c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x14ac:dyDescent="0.3">
      <c r="A98" s="1" t="s">
        <v>10</v>
      </c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x14ac:dyDescent="0.3">
      <c r="A99" s="1" t="s">
        <v>11</v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x14ac:dyDescent="0.3">
      <c r="A100" s="1" t="s">
        <v>75</v>
      </c>
      <c r="B100" s="1">
        <f t="shared" ref="B100:K100" si="6">SUMIFS($M$3:$M$14,B88:B99,"&lt;&gt;")</f>
        <v>0</v>
      </c>
      <c r="C100" s="1">
        <f t="shared" si="6"/>
        <v>0</v>
      </c>
      <c r="D100" s="1">
        <f t="shared" si="6"/>
        <v>0</v>
      </c>
      <c r="E100" s="1">
        <f t="shared" si="6"/>
        <v>0</v>
      </c>
      <c r="F100" s="1">
        <f t="shared" si="6"/>
        <v>0</v>
      </c>
      <c r="G100" s="1">
        <f t="shared" si="6"/>
        <v>0</v>
      </c>
      <c r="H100" s="1">
        <f t="shared" si="6"/>
        <v>0</v>
      </c>
      <c r="I100" s="1">
        <f t="shared" si="6"/>
        <v>0</v>
      </c>
      <c r="J100" s="1">
        <f t="shared" si="6"/>
        <v>0</v>
      </c>
      <c r="K100" s="1">
        <f t="shared" si="6"/>
        <v>0</v>
      </c>
    </row>
    <row r="102" spans="1:11" x14ac:dyDescent="0.3">
      <c r="A102" s="11" t="s">
        <v>58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x14ac:dyDescent="0.3">
      <c r="A103" s="9" t="s">
        <v>74</v>
      </c>
      <c r="B103" s="1">
        <v>1</v>
      </c>
      <c r="C103" s="1">
        <v>2</v>
      </c>
      <c r="D103" s="1">
        <v>4</v>
      </c>
      <c r="E103" s="1">
        <v>8</v>
      </c>
      <c r="F103" s="1">
        <v>16</v>
      </c>
      <c r="G103" s="1">
        <v>32</v>
      </c>
      <c r="H103" s="1">
        <v>64</v>
      </c>
      <c r="I103" s="1">
        <v>128</v>
      </c>
      <c r="J103" s="1">
        <v>256</v>
      </c>
      <c r="K103" s="1">
        <v>1024</v>
      </c>
    </row>
    <row r="104" spans="1:11" x14ac:dyDescent="0.3">
      <c r="A104" s="1" t="s">
        <v>12</v>
      </c>
      <c r="B104" s="1" t="s">
        <v>37</v>
      </c>
      <c r="C104" s="1" t="s">
        <v>41</v>
      </c>
      <c r="D104" s="1" t="s">
        <v>36</v>
      </c>
      <c r="E104" s="1" t="s">
        <v>42</v>
      </c>
      <c r="F104" s="1" t="s">
        <v>38</v>
      </c>
      <c r="G104" s="1" t="s">
        <v>43</v>
      </c>
      <c r="H104" s="1" t="s">
        <v>40</v>
      </c>
      <c r="I104" s="1" t="s">
        <v>44</v>
      </c>
      <c r="J104" s="1" t="s">
        <v>45</v>
      </c>
      <c r="K104" s="1" t="s">
        <v>39</v>
      </c>
    </row>
    <row r="105" spans="1:11" x14ac:dyDescent="0.3">
      <c r="A105" s="1" t="s">
        <v>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3">
      <c r="A106" s="1" t="s">
        <v>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x14ac:dyDescent="0.3">
      <c r="A107" s="1" t="s">
        <v>2</v>
      </c>
      <c r="B107" s="8"/>
      <c r="C107" s="8"/>
      <c r="D107" s="4" t="s">
        <v>14</v>
      </c>
      <c r="E107" s="8"/>
      <c r="F107" s="8"/>
      <c r="G107" s="8"/>
      <c r="H107" s="8"/>
      <c r="I107" s="8"/>
      <c r="J107" s="8"/>
      <c r="K107" s="8"/>
    </row>
    <row r="108" spans="1:11" x14ac:dyDescent="0.3">
      <c r="A108" s="1" t="s">
        <v>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3">
      <c r="A109" s="1" t="s">
        <v>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x14ac:dyDescent="0.3">
      <c r="A110" s="1" t="s">
        <v>5</v>
      </c>
      <c r="B110" s="8"/>
      <c r="C110" s="8"/>
      <c r="D110" s="4" t="s">
        <v>14</v>
      </c>
      <c r="E110" s="8"/>
      <c r="F110" s="8"/>
      <c r="G110" s="8"/>
      <c r="H110" s="8"/>
      <c r="I110" s="8"/>
      <c r="J110" s="8"/>
      <c r="K110" s="8"/>
    </row>
    <row r="111" spans="1:11" x14ac:dyDescent="0.3">
      <c r="A111" s="1" t="s">
        <v>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x14ac:dyDescent="0.3">
      <c r="A112" s="1" t="s">
        <v>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x14ac:dyDescent="0.3">
      <c r="A113" s="1" t="s">
        <v>8</v>
      </c>
      <c r="B113" s="8"/>
      <c r="C113" s="8"/>
      <c r="D113" s="4" t="s">
        <v>14</v>
      </c>
      <c r="E113" s="8"/>
      <c r="F113" s="8"/>
      <c r="G113" s="8"/>
      <c r="H113" s="8"/>
      <c r="I113" s="8"/>
      <c r="J113" s="8"/>
      <c r="K113" s="8"/>
    </row>
    <row r="114" spans="1:11" x14ac:dyDescent="0.3">
      <c r="A114" s="1" t="s">
        <v>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3">
      <c r="A115" s="1" t="s">
        <v>10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x14ac:dyDescent="0.3">
      <c r="A116" s="1" t="s">
        <v>11</v>
      </c>
      <c r="B116" s="8"/>
      <c r="C116" s="8"/>
      <c r="D116" s="4" t="s">
        <v>14</v>
      </c>
      <c r="E116" s="8"/>
      <c r="F116" s="8"/>
      <c r="G116" s="8"/>
      <c r="H116" s="8"/>
      <c r="I116" s="8"/>
      <c r="J116" s="8"/>
      <c r="K116" s="8"/>
    </row>
    <row r="117" spans="1:11" x14ac:dyDescent="0.3">
      <c r="A117" s="1" t="s">
        <v>75</v>
      </c>
      <c r="B117" s="1">
        <f t="shared" ref="B117:K117" si="7">SUMIFS($M$3:$M$14,B105:B116,"&lt;&gt;")</f>
        <v>0</v>
      </c>
      <c r="C117" s="1">
        <f t="shared" si="7"/>
        <v>0</v>
      </c>
      <c r="D117" s="1">
        <f t="shared" si="7"/>
        <v>2340</v>
      </c>
      <c r="E117" s="1">
        <f t="shared" si="7"/>
        <v>0</v>
      </c>
      <c r="F117" s="1">
        <f t="shared" si="7"/>
        <v>0</v>
      </c>
      <c r="G117" s="1">
        <f t="shared" si="7"/>
        <v>0</v>
      </c>
      <c r="H117" s="1">
        <f t="shared" si="7"/>
        <v>0</v>
      </c>
      <c r="I117" s="1">
        <f t="shared" si="7"/>
        <v>0</v>
      </c>
      <c r="J117" s="1">
        <f t="shared" si="7"/>
        <v>0</v>
      </c>
      <c r="K117" s="1">
        <f t="shared" si="7"/>
        <v>0</v>
      </c>
    </row>
    <row r="119" spans="1:11" x14ac:dyDescent="0.3">
      <c r="A119" s="11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1:11" x14ac:dyDescent="0.3">
      <c r="A120" s="9" t="s">
        <v>74</v>
      </c>
      <c r="B120" s="1">
        <v>1</v>
      </c>
      <c r="C120" s="1">
        <v>2</v>
      </c>
      <c r="D120" s="1">
        <v>4</v>
      </c>
      <c r="E120" s="1">
        <v>8</v>
      </c>
      <c r="F120" s="1">
        <v>16</v>
      </c>
      <c r="G120" s="1">
        <v>32</v>
      </c>
      <c r="H120" s="1">
        <v>64</v>
      </c>
      <c r="I120" s="1">
        <v>128</v>
      </c>
      <c r="J120" s="1">
        <v>256</v>
      </c>
      <c r="K120" s="1">
        <v>1024</v>
      </c>
    </row>
    <row r="121" spans="1:11" x14ac:dyDescent="0.3">
      <c r="A121" s="1" t="s">
        <v>12</v>
      </c>
      <c r="B121" s="1" t="s">
        <v>37</v>
      </c>
      <c r="C121" s="1" t="s">
        <v>41</v>
      </c>
      <c r="D121" s="1" t="s">
        <v>36</v>
      </c>
      <c r="E121" s="1" t="s">
        <v>42</v>
      </c>
      <c r="F121" s="1" t="s">
        <v>38</v>
      </c>
      <c r="G121" s="1" t="s">
        <v>43</v>
      </c>
      <c r="H121" s="1" t="s">
        <v>40</v>
      </c>
      <c r="I121" s="1" t="s">
        <v>44</v>
      </c>
      <c r="J121" s="1" t="s">
        <v>45</v>
      </c>
      <c r="K121" s="1" t="s">
        <v>39</v>
      </c>
    </row>
    <row r="122" spans="1:11" x14ac:dyDescent="0.3">
      <c r="A122" s="1" t="s">
        <v>0</v>
      </c>
      <c r="B122" s="4" t="s">
        <v>14</v>
      </c>
      <c r="C122" s="4" t="s">
        <v>14</v>
      </c>
      <c r="D122" s="8"/>
      <c r="E122" s="8"/>
      <c r="F122" s="4" t="s">
        <v>14</v>
      </c>
      <c r="G122" s="8"/>
      <c r="H122" s="8"/>
      <c r="I122" s="8"/>
      <c r="J122" s="8"/>
      <c r="K122" s="8"/>
    </row>
    <row r="123" spans="1:11" x14ac:dyDescent="0.3">
      <c r="A123" s="1" t="s">
        <v>1</v>
      </c>
      <c r="B123" s="8"/>
      <c r="C123" s="8"/>
      <c r="D123" s="8"/>
      <c r="E123" s="8"/>
      <c r="F123" s="8"/>
      <c r="G123" s="8"/>
      <c r="H123" s="4" t="s">
        <v>14</v>
      </c>
      <c r="I123" s="8"/>
      <c r="J123" s="8"/>
      <c r="K123" s="8"/>
    </row>
    <row r="124" spans="1:11" x14ac:dyDescent="0.3">
      <c r="A124" s="1" t="s">
        <v>2</v>
      </c>
      <c r="B124" s="4" t="s">
        <v>14</v>
      </c>
      <c r="C124" s="4" t="s">
        <v>14</v>
      </c>
      <c r="D124" s="8"/>
      <c r="E124" s="8"/>
      <c r="F124" s="4" t="s">
        <v>14</v>
      </c>
      <c r="G124" s="8"/>
      <c r="H124" s="8"/>
      <c r="I124" s="8"/>
      <c r="J124" s="8"/>
      <c r="K124" s="8"/>
    </row>
    <row r="125" spans="1:11" x14ac:dyDescent="0.3">
      <c r="A125" s="1" t="s">
        <v>3</v>
      </c>
      <c r="B125" s="4" t="s">
        <v>14</v>
      </c>
      <c r="C125" s="8"/>
      <c r="D125" s="8"/>
      <c r="E125" s="8"/>
      <c r="F125" s="4" t="s">
        <v>14</v>
      </c>
      <c r="G125" s="8"/>
      <c r="H125" s="8"/>
      <c r="I125" s="8"/>
      <c r="J125" s="8"/>
      <c r="K125" s="8"/>
    </row>
    <row r="126" spans="1:11" x14ac:dyDescent="0.3">
      <c r="A126" s="1" t="s">
        <v>4</v>
      </c>
      <c r="B126" s="8"/>
      <c r="C126" s="8"/>
      <c r="D126" s="8"/>
      <c r="E126" s="8"/>
      <c r="F126" s="4" t="s">
        <v>14</v>
      </c>
      <c r="G126" s="8"/>
      <c r="H126" s="8"/>
      <c r="I126" s="8"/>
      <c r="J126" s="8"/>
      <c r="K126" s="8"/>
    </row>
    <row r="127" spans="1:11" x14ac:dyDescent="0.3">
      <c r="A127" s="1" t="s">
        <v>5</v>
      </c>
      <c r="B127" s="4" t="s">
        <v>14</v>
      </c>
      <c r="C127" s="8"/>
      <c r="D127" s="8"/>
      <c r="E127" s="8"/>
      <c r="F127" s="8"/>
      <c r="G127" s="8"/>
      <c r="H127" s="4" t="s">
        <v>14</v>
      </c>
      <c r="I127" s="8"/>
      <c r="J127" s="8"/>
      <c r="K127" s="4" t="s">
        <v>14</v>
      </c>
    </row>
    <row r="128" spans="1:11" x14ac:dyDescent="0.3">
      <c r="A128" s="1" t="s">
        <v>6</v>
      </c>
      <c r="B128" s="4" t="s">
        <v>14</v>
      </c>
      <c r="C128" s="8"/>
      <c r="D128" s="8"/>
      <c r="E128" s="8"/>
      <c r="F128" s="8"/>
      <c r="G128" s="8"/>
      <c r="H128" s="8"/>
      <c r="I128" s="8"/>
      <c r="J128" s="8"/>
      <c r="K128" s="8"/>
    </row>
    <row r="129" spans="1:11" x14ac:dyDescent="0.3">
      <c r="A129" s="1" t="s">
        <v>7</v>
      </c>
      <c r="B129" s="8"/>
      <c r="C129" s="8"/>
      <c r="D129" s="8"/>
      <c r="E129" s="8"/>
      <c r="F129" s="4" t="s">
        <v>14</v>
      </c>
      <c r="G129" s="8"/>
      <c r="H129" s="4" t="s">
        <v>14</v>
      </c>
      <c r="I129" s="8"/>
      <c r="J129" s="8"/>
      <c r="K129" s="8"/>
    </row>
    <row r="130" spans="1:11" x14ac:dyDescent="0.3">
      <c r="A130" s="1" t="s">
        <v>8</v>
      </c>
      <c r="B130" s="8"/>
      <c r="C130" s="8"/>
      <c r="D130" s="8"/>
      <c r="E130" s="8"/>
      <c r="F130" s="4" t="s">
        <v>14</v>
      </c>
      <c r="G130" s="8"/>
      <c r="H130" s="4" t="s">
        <v>14</v>
      </c>
      <c r="I130" s="8"/>
      <c r="J130" s="8"/>
      <c r="K130" s="8"/>
    </row>
    <row r="131" spans="1:11" x14ac:dyDescent="0.3">
      <c r="A131" s="1" t="s">
        <v>9</v>
      </c>
      <c r="B131" s="8"/>
      <c r="C131" s="4" t="s">
        <v>14</v>
      </c>
      <c r="D131" s="8"/>
      <c r="E131" s="8"/>
      <c r="F131" s="4" t="s">
        <v>14</v>
      </c>
      <c r="G131" s="8"/>
      <c r="H131" s="8"/>
      <c r="I131" s="8"/>
      <c r="J131" s="8"/>
      <c r="K131" s="8"/>
    </row>
    <row r="132" spans="1:11" x14ac:dyDescent="0.3">
      <c r="A132" s="1" t="s">
        <v>10</v>
      </c>
      <c r="B132" s="4" t="s">
        <v>14</v>
      </c>
      <c r="C132" s="4" t="s">
        <v>14</v>
      </c>
      <c r="D132" s="8"/>
      <c r="E132" s="8"/>
      <c r="F132" s="4" t="s">
        <v>14</v>
      </c>
      <c r="G132" s="8"/>
      <c r="H132" s="4" t="s">
        <v>14</v>
      </c>
      <c r="I132" s="8"/>
      <c r="J132" s="8"/>
      <c r="K132" s="8"/>
    </row>
    <row r="133" spans="1:11" x14ac:dyDescent="0.3">
      <c r="A133" s="1" t="s">
        <v>11</v>
      </c>
      <c r="B133" s="4" t="s">
        <v>14</v>
      </c>
      <c r="C133" s="8"/>
      <c r="D133" s="8"/>
      <c r="E133" s="8"/>
      <c r="F133" s="4" t="s">
        <v>14</v>
      </c>
      <c r="G133" s="8"/>
      <c r="H133" s="8"/>
      <c r="I133" s="8"/>
      <c r="J133" s="8"/>
      <c r="K133" s="8"/>
    </row>
    <row r="134" spans="1:11" x14ac:dyDescent="0.3">
      <c r="A134" s="1" t="s">
        <v>75</v>
      </c>
      <c r="B134" s="1">
        <f t="shared" ref="B134:K134" si="8">SUMIFS($M$3:$M$14,B122:B133,"&lt;&gt;")</f>
        <v>3181</v>
      </c>
      <c r="C134" s="1">
        <f t="shared" si="8"/>
        <v>1541</v>
      </c>
      <c r="D134" s="1">
        <f t="shared" si="8"/>
        <v>0</v>
      </c>
      <c r="E134" s="1">
        <f t="shared" si="8"/>
        <v>0</v>
      </c>
      <c r="F134" s="1">
        <f t="shared" si="8"/>
        <v>3997</v>
      </c>
      <c r="G134" s="1">
        <f t="shared" si="8"/>
        <v>0</v>
      </c>
      <c r="H134" s="1">
        <f t="shared" si="8"/>
        <v>1442</v>
      </c>
      <c r="I134" s="1">
        <f t="shared" si="8"/>
        <v>0</v>
      </c>
      <c r="J134" s="1">
        <f t="shared" si="8"/>
        <v>0</v>
      </c>
      <c r="K134" s="1">
        <f t="shared" si="8"/>
        <v>32</v>
      </c>
    </row>
    <row r="136" spans="1:11" x14ac:dyDescent="0.3">
      <c r="A136" s="11" t="s">
        <v>60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x14ac:dyDescent="0.3">
      <c r="A137" s="9" t="s">
        <v>74</v>
      </c>
      <c r="B137" s="1">
        <v>1</v>
      </c>
      <c r="C137" s="1">
        <v>2</v>
      </c>
      <c r="D137" s="1">
        <v>4</v>
      </c>
      <c r="E137" s="1">
        <v>8</v>
      </c>
      <c r="F137" s="1">
        <v>16</v>
      </c>
      <c r="G137" s="1">
        <v>32</v>
      </c>
      <c r="H137" s="1">
        <v>64</v>
      </c>
      <c r="I137" s="1">
        <v>128</v>
      </c>
      <c r="J137" s="1">
        <v>256</v>
      </c>
      <c r="K137" s="1">
        <v>1024</v>
      </c>
    </row>
    <row r="138" spans="1:11" x14ac:dyDescent="0.3">
      <c r="A138" s="1" t="s">
        <v>12</v>
      </c>
      <c r="B138" s="1" t="s">
        <v>37</v>
      </c>
      <c r="C138" s="1" t="s">
        <v>41</v>
      </c>
      <c r="D138" s="1" t="s">
        <v>36</v>
      </c>
      <c r="E138" s="1" t="s">
        <v>42</v>
      </c>
      <c r="F138" s="1" t="s">
        <v>38</v>
      </c>
      <c r="G138" s="1" t="s">
        <v>43</v>
      </c>
      <c r="H138" s="1" t="s">
        <v>40</v>
      </c>
      <c r="I138" s="1" t="s">
        <v>44</v>
      </c>
      <c r="J138" s="1" t="s">
        <v>45</v>
      </c>
      <c r="K138" s="1" t="s">
        <v>39</v>
      </c>
    </row>
    <row r="139" spans="1:11" x14ac:dyDescent="0.3">
      <c r="A139" s="1" t="s">
        <v>0</v>
      </c>
      <c r="B139" s="8"/>
      <c r="C139" s="8"/>
      <c r="D139" s="8"/>
      <c r="E139" s="8"/>
      <c r="F139" s="8"/>
      <c r="G139" s="4" t="s">
        <v>14</v>
      </c>
      <c r="H139" s="8"/>
      <c r="I139" s="8"/>
      <c r="J139" s="8"/>
      <c r="K139" s="8"/>
    </row>
    <row r="140" spans="1:11" x14ac:dyDescent="0.3">
      <c r="A140" s="1" t="s">
        <v>1</v>
      </c>
      <c r="B140" s="8"/>
      <c r="C140" s="8"/>
      <c r="D140" s="8"/>
      <c r="E140" s="8"/>
      <c r="F140" s="8"/>
      <c r="G140" s="4" t="s">
        <v>14</v>
      </c>
      <c r="H140" s="8"/>
      <c r="I140" s="8"/>
      <c r="J140" s="8"/>
      <c r="K140" s="8"/>
    </row>
    <row r="141" spans="1:11" x14ac:dyDescent="0.3">
      <c r="A141" s="1" t="s">
        <v>2</v>
      </c>
      <c r="B141" s="8"/>
      <c r="C141" s="8"/>
      <c r="D141" s="8"/>
      <c r="E141" s="8"/>
      <c r="F141" s="8"/>
      <c r="G141" s="4" t="s">
        <v>14</v>
      </c>
      <c r="H141" s="8"/>
      <c r="I141" s="8"/>
      <c r="J141" s="8"/>
      <c r="K141" s="8"/>
    </row>
    <row r="142" spans="1:11" x14ac:dyDescent="0.3">
      <c r="A142" s="1" t="s">
        <v>3</v>
      </c>
      <c r="B142" s="8"/>
      <c r="C142" s="8"/>
      <c r="D142" s="8"/>
      <c r="E142" s="8"/>
      <c r="F142" s="8"/>
      <c r="G142" s="4" t="s">
        <v>14</v>
      </c>
      <c r="H142" s="8"/>
      <c r="I142" s="8"/>
      <c r="J142" s="8"/>
      <c r="K142" s="8"/>
    </row>
    <row r="143" spans="1:11" x14ac:dyDescent="0.3">
      <c r="A143" s="1" t="s">
        <v>4</v>
      </c>
      <c r="B143" s="8"/>
      <c r="C143" s="8"/>
      <c r="D143" s="8"/>
      <c r="E143" s="8"/>
      <c r="F143" s="8"/>
      <c r="G143" s="4" t="s">
        <v>14</v>
      </c>
      <c r="H143" s="8"/>
      <c r="I143" s="8"/>
      <c r="J143" s="8"/>
      <c r="K143" s="8"/>
    </row>
    <row r="144" spans="1:11" x14ac:dyDescent="0.3">
      <c r="A144" s="1" t="s">
        <v>5</v>
      </c>
      <c r="B144" s="8"/>
      <c r="C144" s="8"/>
      <c r="D144" s="8"/>
      <c r="E144" s="8"/>
      <c r="F144" s="8"/>
      <c r="G144" s="4" t="s">
        <v>14</v>
      </c>
      <c r="H144" s="8"/>
      <c r="I144" s="8"/>
      <c r="J144" s="8"/>
      <c r="K144" s="8"/>
    </row>
    <row r="145" spans="1:11" x14ac:dyDescent="0.3">
      <c r="A145" s="1" t="s">
        <v>6</v>
      </c>
      <c r="B145" s="8"/>
      <c r="C145" s="8"/>
      <c r="D145" s="8"/>
      <c r="E145" s="8"/>
      <c r="F145" s="8"/>
      <c r="G145" s="4" t="s">
        <v>14</v>
      </c>
      <c r="H145" s="8"/>
      <c r="I145" s="8"/>
      <c r="J145" s="8"/>
      <c r="K145" s="8"/>
    </row>
    <row r="146" spans="1:11" x14ac:dyDescent="0.3">
      <c r="A146" s="1" t="s">
        <v>7</v>
      </c>
      <c r="B146" s="8"/>
      <c r="C146" s="8"/>
      <c r="D146" s="8"/>
      <c r="E146" s="8"/>
      <c r="F146" s="8"/>
      <c r="G146" s="4" t="s">
        <v>14</v>
      </c>
      <c r="H146" s="8"/>
      <c r="I146" s="8"/>
      <c r="J146" s="8"/>
      <c r="K146" s="8"/>
    </row>
    <row r="147" spans="1:11" x14ac:dyDescent="0.3">
      <c r="A147" s="1" t="s">
        <v>8</v>
      </c>
      <c r="B147" s="8"/>
      <c r="C147" s="8"/>
      <c r="D147" s="8"/>
      <c r="E147" s="8"/>
      <c r="F147" s="8"/>
      <c r="G147" s="4" t="s">
        <v>14</v>
      </c>
      <c r="H147" s="8"/>
      <c r="I147" s="8"/>
      <c r="J147" s="8"/>
      <c r="K147" s="8"/>
    </row>
    <row r="148" spans="1:11" x14ac:dyDescent="0.3">
      <c r="A148" s="1" t="s">
        <v>9</v>
      </c>
      <c r="B148" s="8"/>
      <c r="C148" s="8"/>
      <c r="D148" s="8"/>
      <c r="E148" s="8"/>
      <c r="F148" s="8"/>
      <c r="G148" s="4" t="s">
        <v>14</v>
      </c>
      <c r="H148" s="8"/>
      <c r="I148" s="8"/>
      <c r="J148" s="8"/>
      <c r="K148" s="8"/>
    </row>
    <row r="149" spans="1:11" x14ac:dyDescent="0.3">
      <c r="A149" s="1" t="s">
        <v>10</v>
      </c>
      <c r="B149" s="8"/>
      <c r="C149" s="8"/>
      <c r="D149" s="8"/>
      <c r="E149" s="8"/>
      <c r="F149" s="8"/>
      <c r="G149" s="4" t="s">
        <v>14</v>
      </c>
      <c r="H149" s="8"/>
      <c r="I149" s="8"/>
      <c r="J149" s="8"/>
      <c r="K149" s="8"/>
    </row>
    <row r="150" spans="1:11" x14ac:dyDescent="0.3">
      <c r="A150" s="1" t="s">
        <v>11</v>
      </c>
      <c r="B150" s="8"/>
      <c r="C150" s="8"/>
      <c r="D150" s="8"/>
      <c r="E150" s="8"/>
      <c r="F150" s="8"/>
      <c r="G150" s="4" t="s">
        <v>14</v>
      </c>
      <c r="H150" s="8"/>
      <c r="I150" s="8"/>
      <c r="J150" s="8"/>
      <c r="K150" s="8"/>
    </row>
    <row r="151" spans="1:11" x14ac:dyDescent="0.3">
      <c r="A151" s="1" t="s">
        <v>75</v>
      </c>
      <c r="B151" s="1">
        <f t="shared" ref="B151:K151" si="9">SUMIFS($M$3:$M$14,B139:B150,"&lt;&gt;")</f>
        <v>0</v>
      </c>
      <c r="C151" s="1">
        <f t="shared" si="9"/>
        <v>0</v>
      </c>
      <c r="D151" s="1">
        <f t="shared" si="9"/>
        <v>0</v>
      </c>
      <c r="E151" s="1">
        <f t="shared" si="9"/>
        <v>0</v>
      </c>
      <c r="F151" s="1">
        <f t="shared" si="9"/>
        <v>0</v>
      </c>
      <c r="G151" s="1">
        <f t="shared" si="9"/>
        <v>4095</v>
      </c>
      <c r="H151" s="1">
        <f t="shared" si="9"/>
        <v>0</v>
      </c>
      <c r="I151" s="1">
        <f t="shared" si="9"/>
        <v>0</v>
      </c>
      <c r="J151" s="1">
        <f t="shared" si="9"/>
        <v>0</v>
      </c>
      <c r="K151" s="1">
        <f t="shared" si="9"/>
        <v>0</v>
      </c>
    </row>
    <row r="153" spans="1:11" x14ac:dyDescent="0.3">
      <c r="A153" s="11" t="s">
        <v>61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1:11" x14ac:dyDescent="0.3">
      <c r="A154" s="9" t="s">
        <v>74</v>
      </c>
      <c r="B154" s="1">
        <v>1</v>
      </c>
      <c r="C154" s="1">
        <v>2</v>
      </c>
      <c r="D154" s="1">
        <v>4</v>
      </c>
      <c r="E154" s="1">
        <v>8</v>
      </c>
      <c r="F154" s="1">
        <v>16</v>
      </c>
      <c r="G154" s="1">
        <v>32</v>
      </c>
      <c r="H154" s="1">
        <v>64</v>
      </c>
      <c r="I154" s="1">
        <v>128</v>
      </c>
      <c r="J154" s="1">
        <v>256</v>
      </c>
      <c r="K154" s="1">
        <v>1024</v>
      </c>
    </row>
    <row r="155" spans="1:11" x14ac:dyDescent="0.3">
      <c r="A155" s="1" t="s">
        <v>12</v>
      </c>
      <c r="B155" s="1" t="s">
        <v>37</v>
      </c>
      <c r="C155" s="1" t="s">
        <v>41</v>
      </c>
      <c r="D155" s="1" t="s">
        <v>36</v>
      </c>
      <c r="E155" s="1" t="s">
        <v>42</v>
      </c>
      <c r="F155" s="1" t="s">
        <v>38</v>
      </c>
      <c r="G155" s="1" t="s">
        <v>43</v>
      </c>
      <c r="H155" s="1" t="s">
        <v>40</v>
      </c>
      <c r="I155" s="1" t="s">
        <v>44</v>
      </c>
      <c r="J155" s="1" t="s">
        <v>45</v>
      </c>
      <c r="K155" s="1" t="s">
        <v>39</v>
      </c>
    </row>
    <row r="156" spans="1:11" x14ac:dyDescent="0.3">
      <c r="A156" s="1" t="s">
        <v>0</v>
      </c>
      <c r="B156" s="4" t="s">
        <v>14</v>
      </c>
      <c r="C156" s="4" t="s">
        <v>14</v>
      </c>
      <c r="D156" s="8"/>
      <c r="E156" s="8"/>
      <c r="F156" s="8"/>
      <c r="G156" s="8"/>
      <c r="H156" s="8"/>
      <c r="I156" s="8"/>
      <c r="J156" s="8"/>
      <c r="K156" s="8"/>
    </row>
    <row r="157" spans="1:11" x14ac:dyDescent="0.3">
      <c r="A157" s="1" t="s">
        <v>1</v>
      </c>
      <c r="B157" s="4" t="s">
        <v>14</v>
      </c>
      <c r="C157" s="8"/>
      <c r="D157" s="8"/>
      <c r="E157" s="8"/>
      <c r="F157" s="8"/>
      <c r="G157" s="8"/>
      <c r="H157" s="4" t="s">
        <v>14</v>
      </c>
      <c r="I157" s="8"/>
      <c r="J157" s="8"/>
      <c r="K157" s="8"/>
    </row>
    <row r="158" spans="1:11" x14ac:dyDescent="0.3">
      <c r="A158" s="1" t="s">
        <v>2</v>
      </c>
      <c r="B158" s="4" t="s">
        <v>14</v>
      </c>
      <c r="C158" s="4" t="s">
        <v>14</v>
      </c>
      <c r="D158" s="8"/>
      <c r="E158" s="8"/>
      <c r="F158" s="8"/>
      <c r="G158" s="8"/>
      <c r="H158" s="8"/>
      <c r="I158" s="8"/>
      <c r="J158" s="8"/>
      <c r="K158" s="8"/>
    </row>
    <row r="159" spans="1:11" x14ac:dyDescent="0.3">
      <c r="A159" s="1" t="s">
        <v>3</v>
      </c>
      <c r="B159" s="4" t="s">
        <v>14</v>
      </c>
      <c r="C159" s="8"/>
      <c r="D159" s="8"/>
      <c r="E159" s="8"/>
      <c r="F159" s="8"/>
      <c r="G159" s="8"/>
      <c r="H159" s="8"/>
      <c r="I159" s="8"/>
      <c r="J159" s="8"/>
      <c r="K159" s="8"/>
    </row>
    <row r="160" spans="1:11" x14ac:dyDescent="0.3">
      <c r="A160" s="1" t="s">
        <v>4</v>
      </c>
      <c r="B160" s="4" t="s">
        <v>14</v>
      </c>
      <c r="C160" s="8"/>
      <c r="D160" s="8"/>
      <c r="E160" s="8"/>
      <c r="F160" s="8"/>
      <c r="G160" s="8"/>
      <c r="H160" s="8"/>
      <c r="I160" s="8"/>
      <c r="J160" s="8"/>
      <c r="K160" s="8"/>
    </row>
    <row r="161" spans="1:11" x14ac:dyDescent="0.3">
      <c r="A161" s="1" t="s">
        <v>5</v>
      </c>
      <c r="B161" s="4" t="s">
        <v>14</v>
      </c>
      <c r="C161" s="8"/>
      <c r="D161" s="8"/>
      <c r="E161" s="8"/>
      <c r="F161" s="8"/>
      <c r="G161" s="8"/>
      <c r="H161" s="4" t="s">
        <v>14</v>
      </c>
      <c r="I161" s="8"/>
      <c r="J161" s="8"/>
      <c r="K161" s="8"/>
    </row>
    <row r="162" spans="1:11" x14ac:dyDescent="0.3">
      <c r="A162" s="1" t="s">
        <v>6</v>
      </c>
      <c r="B162" s="4" t="s">
        <v>14</v>
      </c>
      <c r="C162" s="8"/>
      <c r="D162" s="8"/>
      <c r="E162" s="8"/>
      <c r="F162" s="8"/>
      <c r="G162" s="8"/>
      <c r="H162" s="8"/>
      <c r="I162" s="8"/>
      <c r="J162" s="8"/>
      <c r="K162" s="8"/>
    </row>
    <row r="163" spans="1:11" x14ac:dyDescent="0.3">
      <c r="A163" s="1" t="s">
        <v>7</v>
      </c>
      <c r="B163" s="4" t="s">
        <v>14</v>
      </c>
      <c r="C163" s="8"/>
      <c r="D163" s="8"/>
      <c r="E163" s="8"/>
      <c r="F163" s="8"/>
      <c r="G163" s="8"/>
      <c r="H163" s="4" t="s">
        <v>14</v>
      </c>
      <c r="I163" s="8"/>
      <c r="J163" s="8"/>
      <c r="K163" s="8"/>
    </row>
    <row r="164" spans="1:11" x14ac:dyDescent="0.3">
      <c r="A164" s="1" t="s">
        <v>8</v>
      </c>
      <c r="B164" s="4" t="s">
        <v>14</v>
      </c>
      <c r="C164" s="8"/>
      <c r="D164" s="8"/>
      <c r="E164" s="8"/>
      <c r="F164" s="8"/>
      <c r="G164" s="8"/>
      <c r="H164" s="4" t="s">
        <v>14</v>
      </c>
      <c r="I164" s="8"/>
      <c r="J164" s="8"/>
      <c r="K164" s="8"/>
    </row>
    <row r="165" spans="1:11" x14ac:dyDescent="0.3">
      <c r="A165" s="1" t="s">
        <v>9</v>
      </c>
      <c r="B165" s="8"/>
      <c r="C165" s="4" t="s">
        <v>14</v>
      </c>
      <c r="D165" s="8"/>
      <c r="E165" s="8"/>
      <c r="F165" s="8"/>
      <c r="G165" s="8"/>
      <c r="H165" s="8"/>
      <c r="I165" s="8"/>
      <c r="J165" s="8"/>
      <c r="K165" s="8"/>
    </row>
    <row r="166" spans="1:11" x14ac:dyDescent="0.3">
      <c r="A166" s="1" t="s">
        <v>10</v>
      </c>
      <c r="B166" s="4" t="s">
        <v>14</v>
      </c>
      <c r="C166" s="4" t="s">
        <v>14</v>
      </c>
      <c r="D166" s="8"/>
      <c r="E166" s="8"/>
      <c r="F166" s="8"/>
      <c r="G166" s="8"/>
      <c r="H166" s="4" t="s">
        <v>14</v>
      </c>
      <c r="I166" s="8"/>
      <c r="J166" s="8"/>
      <c r="K166" s="8"/>
    </row>
    <row r="167" spans="1:11" x14ac:dyDescent="0.3">
      <c r="A167" s="1" t="s">
        <v>11</v>
      </c>
      <c r="B167" s="4" t="s">
        <v>14</v>
      </c>
      <c r="C167" s="8"/>
      <c r="D167" s="8"/>
      <c r="E167" s="8"/>
      <c r="F167" s="8"/>
      <c r="G167" s="8"/>
      <c r="H167" s="8"/>
      <c r="I167" s="8"/>
      <c r="J167" s="8"/>
      <c r="K167" s="8"/>
    </row>
    <row r="168" spans="1:11" x14ac:dyDescent="0.3">
      <c r="A168" s="1" t="s">
        <v>75</v>
      </c>
      <c r="B168" s="1">
        <f t="shared" ref="B168:K168" si="10">SUMIFS($M$3:$M$14,B156:B167,"&lt;&gt;")</f>
        <v>3583</v>
      </c>
      <c r="C168" s="1">
        <f t="shared" si="10"/>
        <v>1541</v>
      </c>
      <c r="D168" s="1">
        <f t="shared" si="10"/>
        <v>0</v>
      </c>
      <c r="E168" s="1">
        <f t="shared" si="10"/>
        <v>0</v>
      </c>
      <c r="F168" s="1">
        <f t="shared" si="10"/>
        <v>0</v>
      </c>
      <c r="G168" s="1">
        <f t="shared" si="10"/>
        <v>0</v>
      </c>
      <c r="H168" s="1">
        <f t="shared" si="10"/>
        <v>1442</v>
      </c>
      <c r="I168" s="1">
        <f t="shared" si="10"/>
        <v>0</v>
      </c>
      <c r="J168" s="1">
        <f t="shared" si="10"/>
        <v>0</v>
      </c>
      <c r="K168" s="1">
        <f t="shared" si="10"/>
        <v>0</v>
      </c>
    </row>
    <row r="170" spans="1:11" x14ac:dyDescent="0.3">
      <c r="A170" s="11" t="s">
        <v>62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 x14ac:dyDescent="0.3">
      <c r="A171" s="9" t="s">
        <v>74</v>
      </c>
      <c r="B171" s="1">
        <v>1</v>
      </c>
      <c r="C171" s="1">
        <v>2</v>
      </c>
      <c r="D171" s="1">
        <v>4</v>
      </c>
      <c r="E171" s="1">
        <v>8</v>
      </c>
      <c r="F171" s="1">
        <v>16</v>
      </c>
      <c r="G171" s="1">
        <v>32</v>
      </c>
      <c r="H171" s="1">
        <v>64</v>
      </c>
      <c r="I171" s="1">
        <v>128</v>
      </c>
      <c r="J171" s="1">
        <v>256</v>
      </c>
      <c r="K171" s="1">
        <v>1024</v>
      </c>
    </row>
    <row r="172" spans="1:11" x14ac:dyDescent="0.3">
      <c r="A172" s="1" t="s">
        <v>12</v>
      </c>
      <c r="B172" s="1" t="s">
        <v>37</v>
      </c>
      <c r="C172" s="1" t="s">
        <v>41</v>
      </c>
      <c r="D172" s="1" t="s">
        <v>36</v>
      </c>
      <c r="E172" s="1" t="s">
        <v>42</v>
      </c>
      <c r="F172" s="1" t="s">
        <v>38</v>
      </c>
      <c r="G172" s="1" t="s">
        <v>43</v>
      </c>
      <c r="H172" s="1" t="s">
        <v>40</v>
      </c>
      <c r="I172" s="1" t="s">
        <v>44</v>
      </c>
      <c r="J172" s="1" t="s">
        <v>45</v>
      </c>
      <c r="K172" s="1" t="s">
        <v>39</v>
      </c>
    </row>
    <row r="173" spans="1:11" x14ac:dyDescent="0.3">
      <c r="A173" s="1" t="s">
        <v>0</v>
      </c>
      <c r="B173" s="8"/>
      <c r="C173" s="8"/>
      <c r="D173" s="8"/>
      <c r="E173" s="8"/>
      <c r="F173" s="8"/>
      <c r="G173" s="8"/>
      <c r="H173" s="8"/>
      <c r="I173" s="4" t="s">
        <v>14</v>
      </c>
      <c r="J173" s="8"/>
      <c r="K173" s="8"/>
    </row>
    <row r="174" spans="1:11" x14ac:dyDescent="0.3">
      <c r="A174" s="1" t="s">
        <v>1</v>
      </c>
      <c r="B174" s="8"/>
      <c r="C174" s="8"/>
      <c r="D174" s="8"/>
      <c r="E174" s="8"/>
      <c r="F174" s="8"/>
      <c r="G174" s="8"/>
      <c r="H174" s="4" t="s">
        <v>14</v>
      </c>
      <c r="I174" s="8"/>
      <c r="J174" s="8"/>
      <c r="K174" s="8"/>
    </row>
    <row r="175" spans="1:11" x14ac:dyDescent="0.3">
      <c r="A175" s="1" t="s">
        <v>2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 x14ac:dyDescent="0.3">
      <c r="A176" s="1" t="s">
        <v>3</v>
      </c>
      <c r="B176" s="8"/>
      <c r="C176" s="8"/>
      <c r="D176" s="8"/>
      <c r="E176" s="8"/>
      <c r="F176" s="8"/>
      <c r="G176" s="8"/>
      <c r="H176" s="8"/>
      <c r="I176" s="8"/>
      <c r="J176" s="8"/>
      <c r="K176" s="4" t="s">
        <v>14</v>
      </c>
    </row>
    <row r="177" spans="1:11" x14ac:dyDescent="0.3">
      <c r="A177" s="1" t="s">
        <v>4</v>
      </c>
      <c r="B177" s="8"/>
      <c r="C177" s="8"/>
      <c r="D177" s="8"/>
      <c r="E177" s="8"/>
      <c r="F177" s="8"/>
      <c r="G177" s="8"/>
      <c r="H177" s="8"/>
      <c r="I177" s="4" t="s">
        <v>14</v>
      </c>
      <c r="J177" s="8"/>
      <c r="K177" s="8"/>
    </row>
    <row r="178" spans="1:11" x14ac:dyDescent="0.3">
      <c r="A178" s="1" t="s">
        <v>5</v>
      </c>
      <c r="B178" s="8"/>
      <c r="C178" s="8"/>
      <c r="D178" s="8"/>
      <c r="E178" s="8"/>
      <c r="F178" s="8"/>
      <c r="G178" s="8"/>
      <c r="H178" s="4" t="s">
        <v>14</v>
      </c>
      <c r="I178" s="8"/>
      <c r="J178" s="8"/>
      <c r="K178" s="4" t="s">
        <v>14</v>
      </c>
    </row>
    <row r="179" spans="1:11" x14ac:dyDescent="0.3">
      <c r="A179" s="1" t="s">
        <v>6</v>
      </c>
      <c r="B179" s="8"/>
      <c r="C179" s="8"/>
      <c r="D179" s="8"/>
      <c r="E179" s="8"/>
      <c r="F179" s="8"/>
      <c r="G179" s="8"/>
      <c r="H179" s="8"/>
      <c r="I179" s="4" t="s">
        <v>14</v>
      </c>
      <c r="J179" s="8"/>
      <c r="K179" s="8"/>
    </row>
    <row r="180" spans="1:11" x14ac:dyDescent="0.3">
      <c r="A180" s="1" t="s">
        <v>7</v>
      </c>
      <c r="B180" s="8"/>
      <c r="C180" s="8"/>
      <c r="D180" s="8"/>
      <c r="E180" s="8"/>
      <c r="F180" s="8"/>
      <c r="G180" s="8"/>
      <c r="H180" s="4" t="s">
        <v>14</v>
      </c>
      <c r="I180" s="4" t="s">
        <v>14</v>
      </c>
      <c r="J180" s="8"/>
      <c r="K180" s="8"/>
    </row>
    <row r="181" spans="1:11" x14ac:dyDescent="0.3">
      <c r="A181" s="1" t="s">
        <v>8</v>
      </c>
      <c r="B181" s="8"/>
      <c r="C181" s="8"/>
      <c r="D181" s="8"/>
      <c r="E181" s="8"/>
      <c r="F181" s="8"/>
      <c r="G181" s="8"/>
      <c r="H181" s="4" t="s">
        <v>14</v>
      </c>
      <c r="I181" s="4" t="s">
        <v>14</v>
      </c>
      <c r="J181" s="8"/>
      <c r="K181" s="8"/>
    </row>
    <row r="182" spans="1:11" x14ac:dyDescent="0.3">
      <c r="A182" s="1" t="s">
        <v>9</v>
      </c>
      <c r="B182" s="8"/>
      <c r="C182" s="8"/>
      <c r="D182" s="8"/>
      <c r="E182" s="8"/>
      <c r="F182" s="8"/>
      <c r="G182" s="8"/>
      <c r="H182" s="8"/>
      <c r="I182" s="4" t="s">
        <v>14</v>
      </c>
      <c r="J182" s="8"/>
      <c r="K182" s="8"/>
    </row>
    <row r="183" spans="1:11" x14ac:dyDescent="0.3">
      <c r="A183" s="1" t="s">
        <v>10</v>
      </c>
      <c r="B183" s="8"/>
      <c r="C183" s="8"/>
      <c r="D183" s="8"/>
      <c r="E183" s="8"/>
      <c r="F183" s="8"/>
      <c r="G183" s="8"/>
      <c r="H183" s="4" t="s">
        <v>14</v>
      </c>
      <c r="I183" s="4" t="s">
        <v>14</v>
      </c>
      <c r="J183" s="8"/>
      <c r="K183" s="8"/>
    </row>
    <row r="184" spans="1:11" x14ac:dyDescent="0.3">
      <c r="A184" s="1" t="s">
        <v>11</v>
      </c>
      <c r="B184" s="8"/>
      <c r="C184" s="8"/>
      <c r="D184" s="8"/>
      <c r="E184" s="8"/>
      <c r="F184" s="8"/>
      <c r="G184" s="8"/>
      <c r="H184" s="8"/>
      <c r="I184" s="4" t="s">
        <v>14</v>
      </c>
      <c r="J184" s="8"/>
      <c r="K184" s="4" t="s">
        <v>14</v>
      </c>
    </row>
    <row r="185" spans="1:11" x14ac:dyDescent="0.3">
      <c r="A185" s="1" t="s">
        <v>75</v>
      </c>
      <c r="B185" s="1">
        <f t="shared" ref="B185:K185" si="11">SUMIFS($M$3:$M$14,B173:B184,"&lt;&gt;")</f>
        <v>0</v>
      </c>
      <c r="C185" s="1">
        <f t="shared" si="11"/>
        <v>0</v>
      </c>
      <c r="D185" s="1">
        <f t="shared" si="11"/>
        <v>0</v>
      </c>
      <c r="E185" s="1">
        <f t="shared" si="11"/>
        <v>0</v>
      </c>
      <c r="F185" s="1">
        <f t="shared" si="11"/>
        <v>0</v>
      </c>
      <c r="G185" s="1">
        <f t="shared" si="11"/>
        <v>0</v>
      </c>
      <c r="H185" s="1">
        <f t="shared" si="11"/>
        <v>1442</v>
      </c>
      <c r="I185" s="1">
        <f t="shared" si="11"/>
        <v>4049</v>
      </c>
      <c r="J185" s="1">
        <f t="shared" si="11"/>
        <v>0</v>
      </c>
      <c r="K185" s="1">
        <f t="shared" si="11"/>
        <v>2088</v>
      </c>
    </row>
    <row r="187" spans="1:11" x14ac:dyDescent="0.3">
      <c r="A187" s="11" t="s">
        <v>63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pans="1:11" x14ac:dyDescent="0.3">
      <c r="A188" s="9" t="s">
        <v>74</v>
      </c>
      <c r="B188" s="1">
        <v>1</v>
      </c>
      <c r="C188" s="1">
        <v>2</v>
      </c>
      <c r="D188" s="1">
        <v>4</v>
      </c>
      <c r="E188" s="1">
        <v>8</v>
      </c>
      <c r="F188" s="1">
        <v>16</v>
      </c>
      <c r="G188" s="1">
        <v>32</v>
      </c>
      <c r="H188" s="1">
        <v>64</v>
      </c>
      <c r="I188" s="1">
        <v>128</v>
      </c>
      <c r="J188" s="1">
        <v>256</v>
      </c>
      <c r="K188" s="1">
        <v>1024</v>
      </c>
    </row>
    <row r="189" spans="1:11" x14ac:dyDescent="0.3">
      <c r="A189" s="1" t="s">
        <v>12</v>
      </c>
      <c r="B189" s="1" t="s">
        <v>37</v>
      </c>
      <c r="C189" s="1" t="s">
        <v>41</v>
      </c>
      <c r="D189" s="1" t="s">
        <v>36</v>
      </c>
      <c r="E189" s="1" t="s">
        <v>42</v>
      </c>
      <c r="F189" s="1" t="s">
        <v>38</v>
      </c>
      <c r="G189" s="1" t="s">
        <v>43</v>
      </c>
      <c r="H189" s="1" t="s">
        <v>40</v>
      </c>
      <c r="I189" s="1" t="s">
        <v>44</v>
      </c>
      <c r="J189" s="1" t="s">
        <v>45</v>
      </c>
      <c r="K189" s="1" t="s">
        <v>39</v>
      </c>
    </row>
    <row r="190" spans="1:11" x14ac:dyDescent="0.3">
      <c r="A190" s="1" t="s">
        <v>0</v>
      </c>
      <c r="B190" s="4" t="s">
        <v>14</v>
      </c>
      <c r="C190" s="8"/>
      <c r="D190" s="8"/>
      <c r="E190" s="8"/>
      <c r="F190" s="8"/>
      <c r="G190" s="4" t="s">
        <v>14</v>
      </c>
      <c r="H190" s="8"/>
      <c r="I190" s="8"/>
      <c r="J190" s="8"/>
      <c r="K190" s="8"/>
    </row>
    <row r="191" spans="1:11" x14ac:dyDescent="0.3">
      <c r="A191" s="1" t="s">
        <v>1</v>
      </c>
      <c r="B191" s="4" t="s">
        <v>14</v>
      </c>
      <c r="C191" s="8"/>
      <c r="D191" s="8"/>
      <c r="E191" s="8"/>
      <c r="F191" s="8"/>
      <c r="G191" s="4" t="s">
        <v>14</v>
      </c>
      <c r="H191" s="8"/>
      <c r="I191" s="8"/>
      <c r="J191" s="8"/>
      <c r="K191" s="8"/>
    </row>
    <row r="192" spans="1:11" x14ac:dyDescent="0.3">
      <c r="A192" s="1" t="s">
        <v>2</v>
      </c>
      <c r="B192" s="8"/>
      <c r="C192" s="8"/>
      <c r="D192" s="8"/>
      <c r="E192" s="8"/>
      <c r="F192" s="8"/>
      <c r="G192" s="4" t="s">
        <v>14</v>
      </c>
      <c r="H192" s="8"/>
      <c r="I192" s="8"/>
      <c r="J192" s="8"/>
      <c r="K192" s="8"/>
    </row>
    <row r="193" spans="1:11" x14ac:dyDescent="0.3">
      <c r="A193" s="1" t="s">
        <v>3</v>
      </c>
      <c r="B193" s="4" t="s">
        <v>14</v>
      </c>
      <c r="C193" s="8"/>
      <c r="D193" s="8"/>
      <c r="E193" s="8"/>
      <c r="F193" s="8"/>
      <c r="G193" s="4" t="s">
        <v>14</v>
      </c>
      <c r="H193" s="8"/>
      <c r="I193" s="8"/>
      <c r="J193" s="8"/>
      <c r="K193" s="8"/>
    </row>
    <row r="194" spans="1:11" x14ac:dyDescent="0.3">
      <c r="A194" s="1" t="s">
        <v>4</v>
      </c>
      <c r="B194" s="4" t="s">
        <v>14</v>
      </c>
      <c r="C194" s="8"/>
      <c r="D194" s="8"/>
      <c r="E194" s="8"/>
      <c r="F194" s="8"/>
      <c r="G194" s="4" t="s">
        <v>14</v>
      </c>
      <c r="H194" s="8"/>
      <c r="I194" s="8"/>
      <c r="J194" s="8"/>
      <c r="K194" s="8"/>
    </row>
    <row r="195" spans="1:11" x14ac:dyDescent="0.3">
      <c r="A195" s="1" t="s">
        <v>5</v>
      </c>
      <c r="B195" s="8"/>
      <c r="C195" s="8"/>
      <c r="D195" s="8"/>
      <c r="E195" s="8"/>
      <c r="F195" s="8"/>
      <c r="G195" s="4" t="s">
        <v>14</v>
      </c>
      <c r="H195" s="8"/>
      <c r="I195" s="8"/>
      <c r="J195" s="8"/>
      <c r="K195" s="8"/>
    </row>
    <row r="196" spans="1:11" x14ac:dyDescent="0.3">
      <c r="A196" s="1" t="s">
        <v>6</v>
      </c>
      <c r="B196" s="4" t="s">
        <v>14</v>
      </c>
      <c r="C196" s="8"/>
      <c r="D196" s="8"/>
      <c r="E196" s="8"/>
      <c r="F196" s="8"/>
      <c r="G196" s="4" t="s">
        <v>14</v>
      </c>
      <c r="H196" s="8"/>
      <c r="I196" s="8"/>
      <c r="J196" s="8"/>
      <c r="K196" s="8"/>
    </row>
    <row r="197" spans="1:11" x14ac:dyDescent="0.3">
      <c r="A197" s="1" t="s">
        <v>7</v>
      </c>
      <c r="B197" s="8"/>
      <c r="C197" s="8"/>
      <c r="D197" s="8"/>
      <c r="E197" s="8"/>
      <c r="F197" s="8"/>
      <c r="G197" s="4" t="s">
        <v>14</v>
      </c>
      <c r="H197" s="8"/>
      <c r="I197" s="8"/>
      <c r="J197" s="8"/>
      <c r="K197" s="8"/>
    </row>
    <row r="198" spans="1:11" x14ac:dyDescent="0.3">
      <c r="A198" s="1" t="s">
        <v>8</v>
      </c>
      <c r="B198" s="4" t="s">
        <v>14</v>
      </c>
      <c r="C198" s="8"/>
      <c r="D198" s="8"/>
      <c r="E198" s="8"/>
      <c r="F198" s="8"/>
      <c r="G198" s="4" t="s">
        <v>14</v>
      </c>
      <c r="H198" s="8"/>
      <c r="I198" s="8"/>
      <c r="J198" s="8"/>
      <c r="K198" s="8"/>
    </row>
    <row r="199" spans="1:11" x14ac:dyDescent="0.3">
      <c r="A199" s="1" t="s">
        <v>9</v>
      </c>
      <c r="B199" s="8"/>
      <c r="C199" s="8"/>
      <c r="D199" s="8"/>
      <c r="E199" s="8"/>
      <c r="F199" s="8"/>
      <c r="G199" s="4" t="s">
        <v>14</v>
      </c>
      <c r="H199" s="8"/>
      <c r="I199" s="8"/>
      <c r="J199" s="8"/>
      <c r="K199" s="8"/>
    </row>
    <row r="200" spans="1:11" x14ac:dyDescent="0.3">
      <c r="A200" s="1" t="s">
        <v>10</v>
      </c>
      <c r="B200" s="4" t="s">
        <v>14</v>
      </c>
      <c r="C200" s="8"/>
      <c r="D200" s="4" t="s">
        <v>14</v>
      </c>
      <c r="E200" s="8"/>
      <c r="F200" s="8"/>
      <c r="G200" s="4" t="s">
        <v>14</v>
      </c>
      <c r="H200" s="8"/>
      <c r="I200" s="8"/>
      <c r="J200" s="8"/>
      <c r="K200" s="8"/>
    </row>
    <row r="201" spans="1:11" x14ac:dyDescent="0.3">
      <c r="A201" s="1" t="s">
        <v>11</v>
      </c>
      <c r="B201" s="4" t="s">
        <v>14</v>
      </c>
      <c r="C201" s="8"/>
      <c r="D201" s="8"/>
      <c r="E201" s="8"/>
      <c r="F201" s="8"/>
      <c r="G201" s="4" t="s">
        <v>14</v>
      </c>
      <c r="H201" s="8"/>
      <c r="I201" s="8"/>
      <c r="J201" s="8"/>
      <c r="K201" s="8"/>
    </row>
    <row r="202" spans="1:11" x14ac:dyDescent="0.3">
      <c r="A202" s="1" t="s">
        <v>75</v>
      </c>
      <c r="B202" s="1">
        <f t="shared" ref="B202:K202" si="12">SUMIFS($M$3:$M$14,B190:B201,"&lt;&gt;")</f>
        <v>3419</v>
      </c>
      <c r="C202" s="1">
        <f t="shared" si="12"/>
        <v>0</v>
      </c>
      <c r="D202" s="1">
        <f t="shared" si="12"/>
        <v>1024</v>
      </c>
      <c r="E202" s="1">
        <f t="shared" si="12"/>
        <v>0</v>
      </c>
      <c r="F202" s="1">
        <f t="shared" si="12"/>
        <v>0</v>
      </c>
      <c r="G202" s="1">
        <f t="shared" si="12"/>
        <v>4095</v>
      </c>
      <c r="H202" s="1">
        <f t="shared" si="12"/>
        <v>0</v>
      </c>
      <c r="I202" s="1">
        <f t="shared" si="12"/>
        <v>0</v>
      </c>
      <c r="J202" s="1">
        <f t="shared" si="12"/>
        <v>0</v>
      </c>
      <c r="K202" s="1">
        <f t="shared" si="12"/>
        <v>0</v>
      </c>
    </row>
    <row r="204" spans="1:11" x14ac:dyDescent="0.3">
      <c r="A204" s="11" t="s">
        <v>64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x14ac:dyDescent="0.3">
      <c r="A205" s="9" t="s">
        <v>74</v>
      </c>
      <c r="B205" s="1">
        <v>1</v>
      </c>
      <c r="C205" s="1">
        <v>2</v>
      </c>
      <c r="D205" s="1">
        <v>4</v>
      </c>
      <c r="E205" s="1">
        <v>8</v>
      </c>
      <c r="F205" s="1">
        <v>16</v>
      </c>
      <c r="G205" s="1">
        <v>32</v>
      </c>
      <c r="H205" s="1">
        <v>64</v>
      </c>
      <c r="I205" s="1">
        <v>128</v>
      </c>
      <c r="J205" s="1">
        <v>256</v>
      </c>
      <c r="K205" s="1">
        <v>1024</v>
      </c>
    </row>
    <row r="206" spans="1:11" x14ac:dyDescent="0.3">
      <c r="A206" s="1" t="s">
        <v>12</v>
      </c>
      <c r="B206" s="1" t="s">
        <v>37</v>
      </c>
      <c r="C206" s="1" t="s">
        <v>41</v>
      </c>
      <c r="D206" s="1" t="s">
        <v>36</v>
      </c>
      <c r="E206" s="1" t="s">
        <v>42</v>
      </c>
      <c r="F206" s="1" t="s">
        <v>38</v>
      </c>
      <c r="G206" s="1" t="s">
        <v>43</v>
      </c>
      <c r="H206" s="1" t="s">
        <v>40</v>
      </c>
      <c r="I206" s="1" t="s">
        <v>44</v>
      </c>
      <c r="J206" s="1" t="s">
        <v>45</v>
      </c>
      <c r="K206" s="1" t="s">
        <v>39</v>
      </c>
    </row>
    <row r="207" spans="1:11" x14ac:dyDescent="0.3">
      <c r="A207" s="1" t="s">
        <v>0</v>
      </c>
      <c r="B207" s="8"/>
      <c r="C207" s="8"/>
      <c r="D207" s="8"/>
      <c r="E207" s="4" t="s">
        <v>14</v>
      </c>
      <c r="F207" s="8"/>
      <c r="G207" s="8"/>
      <c r="H207" s="8"/>
      <c r="I207" s="8"/>
      <c r="J207" s="8"/>
      <c r="K207" s="8"/>
    </row>
    <row r="208" spans="1:11" x14ac:dyDescent="0.3">
      <c r="A208" s="1" t="s">
        <v>1</v>
      </c>
      <c r="B208" s="8"/>
      <c r="C208" s="8"/>
      <c r="D208" s="8"/>
      <c r="E208" s="4" t="s">
        <v>14</v>
      </c>
      <c r="F208" s="8"/>
      <c r="G208" s="8"/>
      <c r="H208" s="8"/>
      <c r="I208" s="8"/>
      <c r="J208" s="8"/>
      <c r="K208" s="8"/>
    </row>
    <row r="209" spans="1:11" x14ac:dyDescent="0.3">
      <c r="A209" s="1" t="s">
        <v>2</v>
      </c>
      <c r="B209" s="8"/>
      <c r="C209" s="8"/>
      <c r="D209" s="8"/>
      <c r="E209" s="4" t="s">
        <v>14</v>
      </c>
      <c r="F209" s="8"/>
      <c r="G209" s="8"/>
      <c r="H209" s="8"/>
      <c r="I209" s="8"/>
      <c r="J209" s="8"/>
      <c r="K209" s="8"/>
    </row>
    <row r="210" spans="1:11" x14ac:dyDescent="0.3">
      <c r="A210" s="1" t="s">
        <v>3</v>
      </c>
      <c r="B210" s="8"/>
      <c r="C210" s="8"/>
      <c r="D210" s="8"/>
      <c r="E210" s="4" t="s">
        <v>14</v>
      </c>
      <c r="F210" s="8"/>
      <c r="G210" s="8"/>
      <c r="H210" s="8"/>
      <c r="I210" s="8"/>
      <c r="J210" s="8"/>
      <c r="K210" s="8"/>
    </row>
    <row r="211" spans="1:11" x14ac:dyDescent="0.3">
      <c r="A211" s="1" t="s">
        <v>4</v>
      </c>
      <c r="B211" s="8"/>
      <c r="C211" s="8"/>
      <c r="D211" s="8"/>
      <c r="E211" s="4" t="s">
        <v>14</v>
      </c>
      <c r="F211" s="8"/>
      <c r="G211" s="8"/>
      <c r="H211" s="8"/>
      <c r="I211" s="8"/>
      <c r="J211" s="8"/>
      <c r="K211" s="8"/>
    </row>
    <row r="212" spans="1:11" x14ac:dyDescent="0.3">
      <c r="A212" s="1" t="s">
        <v>5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x14ac:dyDescent="0.3">
      <c r="A213" s="1" t="s">
        <v>6</v>
      </c>
      <c r="B213" s="8"/>
      <c r="C213" s="8"/>
      <c r="D213" s="8"/>
      <c r="E213" s="4" t="s">
        <v>14</v>
      </c>
      <c r="F213" s="8"/>
      <c r="G213" s="8"/>
      <c r="H213" s="8"/>
      <c r="I213" s="8"/>
      <c r="J213" s="8"/>
      <c r="K213" s="8"/>
    </row>
    <row r="214" spans="1:11" x14ac:dyDescent="0.3">
      <c r="A214" s="1" t="s">
        <v>7</v>
      </c>
      <c r="B214" s="4" t="s">
        <v>14</v>
      </c>
      <c r="C214" s="8"/>
      <c r="D214" s="8"/>
      <c r="E214" s="4" t="s">
        <v>14</v>
      </c>
      <c r="F214" s="8"/>
      <c r="G214" s="8"/>
      <c r="H214" s="8"/>
      <c r="I214" s="8"/>
      <c r="J214" s="8"/>
      <c r="K214" s="8"/>
    </row>
    <row r="215" spans="1:11" x14ac:dyDescent="0.3">
      <c r="A215" s="1" t="s">
        <v>8</v>
      </c>
      <c r="B215" s="8"/>
      <c r="C215" s="8"/>
      <c r="D215" s="8"/>
      <c r="E215" s="4" t="s">
        <v>14</v>
      </c>
      <c r="F215" s="8"/>
      <c r="G215" s="8"/>
      <c r="H215" s="8"/>
      <c r="I215" s="8"/>
      <c r="J215" s="8"/>
      <c r="K215" s="8"/>
    </row>
    <row r="216" spans="1:11" x14ac:dyDescent="0.3">
      <c r="A216" s="1" t="s">
        <v>9</v>
      </c>
      <c r="B216" s="8"/>
      <c r="C216" s="8"/>
      <c r="D216" s="8"/>
      <c r="E216" s="4" t="s">
        <v>14</v>
      </c>
      <c r="F216" s="8"/>
      <c r="G216" s="8"/>
      <c r="H216" s="8"/>
      <c r="I216" s="8"/>
      <c r="J216" s="8"/>
      <c r="K216" s="8"/>
    </row>
    <row r="217" spans="1:11" x14ac:dyDescent="0.3">
      <c r="A217" s="1" t="s">
        <v>10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x14ac:dyDescent="0.3">
      <c r="A218" s="1" t="s">
        <v>11</v>
      </c>
      <c r="B218" s="8"/>
      <c r="C218" s="8"/>
      <c r="D218" s="8"/>
      <c r="E218" s="4" t="s">
        <v>14</v>
      </c>
      <c r="F218" s="8"/>
      <c r="G218" s="8"/>
      <c r="H218" s="8"/>
      <c r="I218" s="8"/>
      <c r="J218" s="8"/>
      <c r="K218" s="8"/>
    </row>
    <row r="219" spans="1:11" x14ac:dyDescent="0.3">
      <c r="A219" s="1" t="s">
        <v>75</v>
      </c>
      <c r="B219" s="1">
        <f t="shared" ref="B219:K219" si="13">SUMIFS($M$3:$M$14,B207:B218,"&lt;&gt;")</f>
        <v>128</v>
      </c>
      <c r="C219" s="1">
        <f t="shared" si="13"/>
        <v>0</v>
      </c>
      <c r="D219" s="1">
        <f t="shared" si="13"/>
        <v>0</v>
      </c>
      <c r="E219" s="1">
        <f t="shared" si="13"/>
        <v>3039</v>
      </c>
      <c r="F219" s="1">
        <f t="shared" si="13"/>
        <v>0</v>
      </c>
      <c r="G219" s="1">
        <f t="shared" si="13"/>
        <v>0</v>
      </c>
      <c r="H219" s="1">
        <f t="shared" si="13"/>
        <v>0</v>
      </c>
      <c r="I219" s="1">
        <f t="shared" si="13"/>
        <v>0</v>
      </c>
      <c r="J219" s="1">
        <f t="shared" si="13"/>
        <v>0</v>
      </c>
      <c r="K219" s="1">
        <f t="shared" si="13"/>
        <v>0</v>
      </c>
    </row>
    <row r="221" spans="1:11" x14ac:dyDescent="0.3">
      <c r="A221" s="11" t="s">
        <v>65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pans="1:11" x14ac:dyDescent="0.3">
      <c r="A222" s="9" t="s">
        <v>74</v>
      </c>
      <c r="B222" s="1">
        <v>1</v>
      </c>
      <c r="C222" s="1">
        <v>2</v>
      </c>
      <c r="D222" s="1">
        <v>4</v>
      </c>
      <c r="E222" s="1">
        <v>8</v>
      </c>
      <c r="F222" s="1">
        <v>16</v>
      </c>
      <c r="G222" s="1">
        <v>32</v>
      </c>
      <c r="H222" s="1">
        <v>64</v>
      </c>
      <c r="I222" s="1">
        <v>128</v>
      </c>
      <c r="J222" s="1">
        <v>256</v>
      </c>
      <c r="K222" s="1">
        <v>1024</v>
      </c>
    </row>
    <row r="223" spans="1:11" x14ac:dyDescent="0.3">
      <c r="A223" s="1" t="s">
        <v>12</v>
      </c>
      <c r="B223" s="1" t="s">
        <v>37</v>
      </c>
      <c r="C223" s="1" t="s">
        <v>41</v>
      </c>
      <c r="D223" s="1" t="s">
        <v>36</v>
      </c>
      <c r="E223" s="1" t="s">
        <v>42</v>
      </c>
      <c r="F223" s="1" t="s">
        <v>38</v>
      </c>
      <c r="G223" s="1" t="s">
        <v>43</v>
      </c>
      <c r="H223" s="1" t="s">
        <v>40</v>
      </c>
      <c r="I223" s="1" t="s">
        <v>44</v>
      </c>
      <c r="J223" s="1" t="s">
        <v>45</v>
      </c>
      <c r="K223" s="1" t="s">
        <v>39</v>
      </c>
    </row>
    <row r="224" spans="1:11" x14ac:dyDescent="0.3">
      <c r="A224" s="1" t="s">
        <v>0</v>
      </c>
      <c r="B224" s="8"/>
      <c r="C224" s="8"/>
      <c r="D224" s="8"/>
      <c r="E224" s="8"/>
      <c r="F224" s="8"/>
      <c r="G224" s="4" t="s">
        <v>14</v>
      </c>
      <c r="H224" s="8"/>
      <c r="I224" s="8"/>
      <c r="J224" s="8"/>
      <c r="K224" s="8"/>
    </row>
    <row r="225" spans="1:11" x14ac:dyDescent="0.3">
      <c r="A225" s="1" t="s">
        <v>1</v>
      </c>
      <c r="B225" s="4" t="s">
        <v>14</v>
      </c>
      <c r="C225" s="8"/>
      <c r="D225" s="8"/>
      <c r="E225" s="8"/>
      <c r="F225" s="8"/>
      <c r="G225" s="4" t="s">
        <v>14</v>
      </c>
      <c r="H225" s="8"/>
      <c r="I225" s="8"/>
      <c r="J225" s="8"/>
      <c r="K225" s="8"/>
    </row>
    <row r="226" spans="1:11" x14ac:dyDescent="0.3">
      <c r="A226" s="1" t="s">
        <v>2</v>
      </c>
      <c r="B226" s="4" t="s">
        <v>14</v>
      </c>
      <c r="C226" s="8"/>
      <c r="D226" s="8"/>
      <c r="E226" s="8"/>
      <c r="F226" s="8"/>
      <c r="G226" s="4" t="s">
        <v>14</v>
      </c>
      <c r="H226" s="8"/>
      <c r="I226" s="8"/>
      <c r="J226" s="8"/>
      <c r="K226" s="8"/>
    </row>
    <row r="227" spans="1:11" x14ac:dyDescent="0.3">
      <c r="A227" s="1" t="s">
        <v>3</v>
      </c>
      <c r="B227" s="8"/>
      <c r="C227" s="8"/>
      <c r="D227" s="8"/>
      <c r="E227" s="8"/>
      <c r="F227" s="8"/>
      <c r="G227" s="4" t="s">
        <v>14</v>
      </c>
      <c r="H227" s="8"/>
      <c r="I227" s="8"/>
      <c r="J227" s="8"/>
      <c r="K227" s="8"/>
    </row>
    <row r="228" spans="1:11" x14ac:dyDescent="0.3">
      <c r="A228" s="1" t="s">
        <v>4</v>
      </c>
      <c r="B228" s="8"/>
      <c r="C228" s="8"/>
      <c r="D228" s="8"/>
      <c r="E228" s="8"/>
      <c r="F228" s="8"/>
      <c r="G228" s="4" t="s">
        <v>14</v>
      </c>
      <c r="H228" s="8"/>
      <c r="I228" s="8"/>
      <c r="J228" s="8"/>
      <c r="K228" s="8"/>
    </row>
    <row r="229" spans="1:11" x14ac:dyDescent="0.3">
      <c r="A229" s="1" t="s">
        <v>5</v>
      </c>
      <c r="B229" s="8"/>
      <c r="C229" s="8"/>
      <c r="D229" s="8"/>
      <c r="E229" s="8"/>
      <c r="F229" s="8"/>
      <c r="G229" s="4" t="s">
        <v>14</v>
      </c>
      <c r="H229" s="8"/>
      <c r="I229" s="8"/>
      <c r="J229" s="8"/>
      <c r="K229" s="8"/>
    </row>
    <row r="230" spans="1:11" x14ac:dyDescent="0.3">
      <c r="A230" s="1" t="s">
        <v>6</v>
      </c>
      <c r="B230" s="8"/>
      <c r="C230" s="8"/>
      <c r="D230" s="8"/>
      <c r="E230" s="8"/>
      <c r="F230" s="8"/>
      <c r="G230" s="4" t="s">
        <v>14</v>
      </c>
      <c r="H230" s="8"/>
      <c r="I230" s="8"/>
      <c r="J230" s="8"/>
      <c r="K230" s="8"/>
    </row>
    <row r="231" spans="1:11" x14ac:dyDescent="0.3">
      <c r="A231" s="1" t="s">
        <v>7</v>
      </c>
      <c r="B231" s="8"/>
      <c r="C231" s="8"/>
      <c r="D231" s="8"/>
      <c r="E231" s="8"/>
      <c r="F231" s="8"/>
      <c r="G231" s="4" t="s">
        <v>14</v>
      </c>
      <c r="H231" s="8"/>
      <c r="I231" s="8"/>
      <c r="J231" s="8"/>
      <c r="K231" s="8"/>
    </row>
    <row r="232" spans="1:11" x14ac:dyDescent="0.3">
      <c r="A232" s="1" t="s">
        <v>8</v>
      </c>
      <c r="B232" s="8"/>
      <c r="C232" s="8"/>
      <c r="D232" s="8"/>
      <c r="E232" s="8"/>
      <c r="F232" s="8"/>
      <c r="G232" s="4" t="s">
        <v>14</v>
      </c>
      <c r="H232" s="8"/>
      <c r="I232" s="8"/>
      <c r="J232" s="8"/>
      <c r="K232" s="8"/>
    </row>
    <row r="233" spans="1:11" x14ac:dyDescent="0.3">
      <c r="A233" s="1" t="s">
        <v>9</v>
      </c>
      <c r="B233" s="8"/>
      <c r="C233" s="8"/>
      <c r="D233" s="8"/>
      <c r="E233" s="8"/>
      <c r="F233" s="8"/>
      <c r="G233" s="4" t="s">
        <v>14</v>
      </c>
      <c r="H233" s="8"/>
      <c r="I233" s="8"/>
      <c r="J233" s="8"/>
      <c r="K233" s="8"/>
    </row>
    <row r="234" spans="1:11" x14ac:dyDescent="0.3">
      <c r="A234" s="1" t="s">
        <v>10</v>
      </c>
      <c r="B234" s="8"/>
      <c r="C234" s="8"/>
      <c r="D234" s="8"/>
      <c r="E234" s="8"/>
      <c r="F234" s="8"/>
      <c r="G234" s="4" t="s">
        <v>14</v>
      </c>
      <c r="H234" s="8"/>
      <c r="I234" s="8"/>
      <c r="J234" s="8"/>
      <c r="K234" s="8"/>
    </row>
    <row r="235" spans="1:11" x14ac:dyDescent="0.3">
      <c r="A235" s="1" t="s">
        <v>11</v>
      </c>
      <c r="B235" s="8"/>
      <c r="C235" s="8"/>
      <c r="D235" s="8"/>
      <c r="E235" s="8"/>
      <c r="F235" s="8"/>
      <c r="G235" s="4" t="s">
        <v>14</v>
      </c>
      <c r="H235" s="8"/>
      <c r="I235" s="8"/>
      <c r="J235" s="8"/>
      <c r="K235" s="8"/>
    </row>
    <row r="236" spans="1:11" x14ac:dyDescent="0.3">
      <c r="A236" s="1" t="s">
        <v>75</v>
      </c>
      <c r="B236" s="1">
        <f t="shared" ref="B236:K236" si="14">SUMIFS($M$3:$M$14,B224:B235,"&lt;&gt;")</f>
        <v>6</v>
      </c>
      <c r="C236" s="1">
        <f t="shared" si="14"/>
        <v>0</v>
      </c>
      <c r="D236" s="1">
        <f t="shared" si="14"/>
        <v>0</v>
      </c>
      <c r="E236" s="1">
        <f t="shared" si="14"/>
        <v>0</v>
      </c>
      <c r="F236" s="1">
        <f t="shared" si="14"/>
        <v>0</v>
      </c>
      <c r="G236" s="1">
        <f t="shared" si="14"/>
        <v>4095</v>
      </c>
      <c r="H236" s="1">
        <f t="shared" si="14"/>
        <v>0</v>
      </c>
      <c r="I236" s="1">
        <f t="shared" si="14"/>
        <v>0</v>
      </c>
      <c r="J236" s="1">
        <f t="shared" si="14"/>
        <v>0</v>
      </c>
      <c r="K236" s="1">
        <f t="shared" si="14"/>
        <v>0</v>
      </c>
    </row>
    <row r="238" spans="1:11" x14ac:dyDescent="0.3">
      <c r="A238" s="11" t="s">
        <v>66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pans="1:11" x14ac:dyDescent="0.3">
      <c r="A239" s="9" t="s">
        <v>74</v>
      </c>
      <c r="B239" s="1">
        <v>1</v>
      </c>
      <c r="C239" s="1">
        <v>2</v>
      </c>
      <c r="D239" s="1">
        <v>4</v>
      </c>
      <c r="E239" s="1">
        <v>8</v>
      </c>
      <c r="F239" s="1">
        <v>16</v>
      </c>
      <c r="G239" s="1">
        <v>32</v>
      </c>
      <c r="H239" s="1">
        <v>64</v>
      </c>
      <c r="I239" s="1">
        <v>128</v>
      </c>
      <c r="J239" s="1">
        <v>256</v>
      </c>
      <c r="K239" s="1">
        <v>1024</v>
      </c>
    </row>
    <row r="240" spans="1:11" x14ac:dyDescent="0.3">
      <c r="A240" s="1" t="s">
        <v>12</v>
      </c>
      <c r="B240" s="1" t="s">
        <v>37</v>
      </c>
      <c r="C240" s="1" t="s">
        <v>41</v>
      </c>
      <c r="D240" s="1" t="s">
        <v>36</v>
      </c>
      <c r="E240" s="1" t="s">
        <v>42</v>
      </c>
      <c r="F240" s="1" t="s">
        <v>38</v>
      </c>
      <c r="G240" s="1" t="s">
        <v>43</v>
      </c>
      <c r="H240" s="1" t="s">
        <v>40</v>
      </c>
      <c r="I240" s="1" t="s">
        <v>44</v>
      </c>
      <c r="J240" s="1" t="s">
        <v>45</v>
      </c>
      <c r="K240" s="1" t="s">
        <v>39</v>
      </c>
    </row>
    <row r="241" spans="1:11" x14ac:dyDescent="0.3">
      <c r="A241" s="1" t="s">
        <v>0</v>
      </c>
      <c r="B241" s="8"/>
      <c r="C241" s="4" t="s">
        <v>14</v>
      </c>
      <c r="D241" s="8"/>
      <c r="E241" s="8"/>
      <c r="F241" s="8"/>
      <c r="G241" s="8"/>
      <c r="H241" s="8"/>
      <c r="I241" s="8"/>
      <c r="J241" s="8"/>
      <c r="K241" s="8"/>
    </row>
    <row r="242" spans="1:11" x14ac:dyDescent="0.3">
      <c r="A242" s="1" t="s">
        <v>1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x14ac:dyDescent="0.3">
      <c r="A243" s="1" t="s">
        <v>2</v>
      </c>
      <c r="B243" s="8"/>
      <c r="C243" s="4" t="s">
        <v>14</v>
      </c>
      <c r="D243" s="8"/>
      <c r="E243" s="8"/>
      <c r="F243" s="8"/>
      <c r="G243" s="8"/>
      <c r="H243" s="8"/>
      <c r="I243" s="8"/>
      <c r="J243" s="8"/>
      <c r="K243" s="8"/>
    </row>
    <row r="244" spans="1:11" x14ac:dyDescent="0.3">
      <c r="A244" s="1" t="s">
        <v>3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x14ac:dyDescent="0.3">
      <c r="A245" s="1" t="s">
        <v>4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x14ac:dyDescent="0.3">
      <c r="A246" s="1" t="s">
        <v>5</v>
      </c>
      <c r="B246" s="4" t="s">
        <v>14</v>
      </c>
      <c r="C246" s="8"/>
      <c r="D246" s="8"/>
      <c r="E246" s="8"/>
      <c r="F246" s="8"/>
      <c r="G246" s="8"/>
      <c r="H246" s="8"/>
      <c r="I246" s="8"/>
      <c r="J246" s="8"/>
      <c r="K246" s="8"/>
    </row>
    <row r="247" spans="1:11" x14ac:dyDescent="0.3">
      <c r="A247" s="1" t="s">
        <v>6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x14ac:dyDescent="0.3">
      <c r="A248" s="1" t="s">
        <v>7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x14ac:dyDescent="0.3">
      <c r="A249" s="1" t="s">
        <v>8</v>
      </c>
      <c r="B249" s="4" t="s">
        <v>14</v>
      </c>
      <c r="C249" s="8"/>
      <c r="D249" s="8"/>
      <c r="E249" s="8"/>
      <c r="F249" s="8"/>
      <c r="G249" s="8"/>
      <c r="H249" s="8"/>
      <c r="I249" s="8"/>
      <c r="J249" s="8"/>
      <c r="K249" s="8"/>
    </row>
    <row r="250" spans="1:11" x14ac:dyDescent="0.3">
      <c r="A250" s="1" t="s">
        <v>9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x14ac:dyDescent="0.3">
      <c r="A251" s="1" t="s">
        <v>10</v>
      </c>
      <c r="B251" s="8"/>
      <c r="C251" s="4" t="s">
        <v>14</v>
      </c>
      <c r="D251" s="8"/>
      <c r="E251" s="8"/>
      <c r="F251" s="8"/>
      <c r="G251" s="8"/>
      <c r="H251" s="8"/>
      <c r="I251" s="8"/>
      <c r="J251" s="8"/>
      <c r="K251" s="8"/>
    </row>
    <row r="252" spans="1:11" x14ac:dyDescent="0.3">
      <c r="A252" s="1" t="s">
        <v>11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x14ac:dyDescent="0.3">
      <c r="A253" s="1" t="s">
        <v>75</v>
      </c>
      <c r="B253" s="1">
        <f t="shared" ref="B253:K253" si="15">SUMIFS($M$3:$M$14,B241:B252,"&lt;&gt;")</f>
        <v>288</v>
      </c>
      <c r="C253" s="1">
        <f t="shared" si="15"/>
        <v>1029</v>
      </c>
      <c r="D253" s="1">
        <f t="shared" si="15"/>
        <v>0</v>
      </c>
      <c r="E253" s="1">
        <f t="shared" si="15"/>
        <v>0</v>
      </c>
      <c r="F253" s="1">
        <f t="shared" si="15"/>
        <v>0</v>
      </c>
      <c r="G253" s="1">
        <f t="shared" si="15"/>
        <v>0</v>
      </c>
      <c r="H253" s="1">
        <f t="shared" si="15"/>
        <v>0</v>
      </c>
      <c r="I253" s="1">
        <f t="shared" si="15"/>
        <v>0</v>
      </c>
      <c r="J253" s="1">
        <f t="shared" si="15"/>
        <v>0</v>
      </c>
      <c r="K253" s="1">
        <f t="shared" si="15"/>
        <v>0</v>
      </c>
    </row>
    <row r="255" spans="1:11" x14ac:dyDescent="0.3">
      <c r="A255" s="11" t="s">
        <v>67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pans="1:11" x14ac:dyDescent="0.3">
      <c r="A256" s="9" t="s">
        <v>74</v>
      </c>
      <c r="B256" s="1">
        <v>1</v>
      </c>
      <c r="C256" s="1">
        <v>2</v>
      </c>
      <c r="D256" s="1">
        <v>4</v>
      </c>
      <c r="E256" s="1">
        <v>8</v>
      </c>
      <c r="F256" s="1">
        <v>16</v>
      </c>
      <c r="G256" s="1">
        <v>32</v>
      </c>
      <c r="H256" s="1">
        <v>64</v>
      </c>
      <c r="I256" s="1">
        <v>128</v>
      </c>
      <c r="J256" s="1">
        <v>256</v>
      </c>
      <c r="K256" s="1">
        <v>1024</v>
      </c>
    </row>
    <row r="257" spans="1:11" x14ac:dyDescent="0.3">
      <c r="A257" s="1" t="s">
        <v>12</v>
      </c>
      <c r="B257" s="1" t="s">
        <v>37</v>
      </c>
      <c r="C257" s="1" t="s">
        <v>41</v>
      </c>
      <c r="D257" s="1" t="s">
        <v>36</v>
      </c>
      <c r="E257" s="1" t="s">
        <v>42</v>
      </c>
      <c r="F257" s="1" t="s">
        <v>38</v>
      </c>
      <c r="G257" s="1" t="s">
        <v>43</v>
      </c>
      <c r="H257" s="1" t="s">
        <v>40</v>
      </c>
      <c r="I257" s="1" t="s">
        <v>44</v>
      </c>
      <c r="J257" s="1" t="s">
        <v>45</v>
      </c>
      <c r="K257" s="1" t="s">
        <v>39</v>
      </c>
    </row>
    <row r="258" spans="1:11" x14ac:dyDescent="0.3">
      <c r="A258" s="1" t="s">
        <v>0</v>
      </c>
      <c r="B258" s="8"/>
      <c r="C258" s="8"/>
      <c r="D258" s="8"/>
      <c r="E258" s="8"/>
      <c r="F258" s="8"/>
      <c r="G258" s="4" t="s">
        <v>14</v>
      </c>
      <c r="H258" s="8"/>
      <c r="I258" s="8"/>
      <c r="J258" s="8"/>
      <c r="K258" s="8"/>
    </row>
    <row r="259" spans="1:11" x14ac:dyDescent="0.3">
      <c r="A259" s="1" t="s">
        <v>1</v>
      </c>
      <c r="B259" s="8"/>
      <c r="C259" s="8"/>
      <c r="D259" s="8"/>
      <c r="E259" s="8"/>
      <c r="F259" s="8"/>
      <c r="G259" s="4" t="s">
        <v>14</v>
      </c>
      <c r="H259" s="8"/>
      <c r="I259" s="8"/>
      <c r="J259" s="8"/>
      <c r="K259" s="8"/>
    </row>
    <row r="260" spans="1:11" x14ac:dyDescent="0.3">
      <c r="A260" s="1" t="s">
        <v>2</v>
      </c>
      <c r="B260" s="8"/>
      <c r="C260" s="8"/>
      <c r="D260" s="8"/>
      <c r="E260" s="8"/>
      <c r="F260" s="8"/>
      <c r="G260" s="4" t="s">
        <v>14</v>
      </c>
      <c r="H260" s="8"/>
      <c r="I260" s="8"/>
      <c r="J260" s="8"/>
      <c r="K260" s="8"/>
    </row>
    <row r="261" spans="1:11" x14ac:dyDescent="0.3">
      <c r="A261" s="1" t="s">
        <v>3</v>
      </c>
      <c r="B261" s="8"/>
      <c r="C261" s="8"/>
      <c r="D261" s="8"/>
      <c r="E261" s="8"/>
      <c r="F261" s="8"/>
      <c r="G261" s="4" t="s">
        <v>14</v>
      </c>
      <c r="H261" s="8"/>
      <c r="I261" s="8"/>
      <c r="J261" s="8"/>
      <c r="K261" s="8"/>
    </row>
    <row r="262" spans="1:11" x14ac:dyDescent="0.3">
      <c r="A262" s="1" t="s">
        <v>4</v>
      </c>
      <c r="B262" s="4" t="s">
        <v>14</v>
      </c>
      <c r="C262" s="8"/>
      <c r="D262" s="8"/>
      <c r="E262" s="8"/>
      <c r="F262" s="8"/>
      <c r="G262" s="4" t="s">
        <v>14</v>
      </c>
      <c r="H262" s="8"/>
      <c r="I262" s="8"/>
      <c r="J262" s="8"/>
      <c r="K262" s="8"/>
    </row>
    <row r="263" spans="1:11" x14ac:dyDescent="0.3">
      <c r="A263" s="1" t="s">
        <v>5</v>
      </c>
      <c r="B263" s="8"/>
      <c r="C263" s="8"/>
      <c r="D263" s="8"/>
      <c r="E263" s="8"/>
      <c r="F263" s="8"/>
      <c r="G263" s="4" t="s">
        <v>14</v>
      </c>
      <c r="H263" s="8"/>
      <c r="I263" s="8"/>
      <c r="J263" s="8"/>
      <c r="K263" s="8"/>
    </row>
    <row r="264" spans="1:11" x14ac:dyDescent="0.3">
      <c r="A264" s="1" t="s">
        <v>6</v>
      </c>
      <c r="B264" s="8"/>
      <c r="C264" s="8"/>
      <c r="D264" s="8"/>
      <c r="E264" s="8"/>
      <c r="F264" s="8"/>
      <c r="G264" s="4" t="s">
        <v>14</v>
      </c>
      <c r="H264" s="8"/>
      <c r="I264" s="8"/>
      <c r="J264" s="8"/>
      <c r="K264" s="8"/>
    </row>
    <row r="265" spans="1:11" x14ac:dyDescent="0.3">
      <c r="A265" s="1" t="s">
        <v>7</v>
      </c>
      <c r="B265" s="8"/>
      <c r="C265" s="8"/>
      <c r="D265" s="8"/>
      <c r="E265" s="8"/>
      <c r="F265" s="8"/>
      <c r="G265" s="4" t="s">
        <v>14</v>
      </c>
      <c r="H265" s="8"/>
      <c r="I265" s="8"/>
      <c r="J265" s="8"/>
      <c r="K265" s="8"/>
    </row>
    <row r="266" spans="1:11" x14ac:dyDescent="0.3">
      <c r="A266" s="1" t="s">
        <v>8</v>
      </c>
      <c r="B266" s="8"/>
      <c r="C266" s="8"/>
      <c r="D266" s="8"/>
      <c r="E266" s="8"/>
      <c r="F266" s="8"/>
      <c r="G266" s="4" t="s">
        <v>14</v>
      </c>
      <c r="H266" s="8"/>
      <c r="I266" s="8"/>
      <c r="J266" s="8"/>
      <c r="K266" s="8"/>
    </row>
    <row r="267" spans="1:11" x14ac:dyDescent="0.3">
      <c r="A267" s="1" t="s">
        <v>9</v>
      </c>
      <c r="B267" s="8"/>
      <c r="C267" s="4" t="s">
        <v>14</v>
      </c>
      <c r="D267" s="8"/>
      <c r="E267" s="8"/>
      <c r="F267" s="8"/>
      <c r="G267" s="4" t="s">
        <v>14</v>
      </c>
      <c r="H267" s="8"/>
      <c r="I267" s="8"/>
      <c r="J267" s="8"/>
      <c r="K267" s="8"/>
    </row>
    <row r="268" spans="1:11" x14ac:dyDescent="0.3">
      <c r="A268" s="1" t="s">
        <v>10</v>
      </c>
      <c r="B268" s="4" t="s">
        <v>14</v>
      </c>
      <c r="C268" s="8"/>
      <c r="D268" s="8"/>
      <c r="E268" s="8"/>
      <c r="F268" s="8"/>
      <c r="G268" s="4" t="s">
        <v>14</v>
      </c>
      <c r="H268" s="8"/>
      <c r="I268" s="8"/>
      <c r="J268" s="8"/>
      <c r="K268" s="8"/>
    </row>
    <row r="269" spans="1:11" x14ac:dyDescent="0.3">
      <c r="A269" s="1" t="s">
        <v>11</v>
      </c>
      <c r="B269" s="4" t="s">
        <v>14</v>
      </c>
      <c r="C269" s="8"/>
      <c r="D269" s="8"/>
      <c r="E269" s="8"/>
      <c r="F269" s="8"/>
      <c r="G269" s="4" t="s">
        <v>14</v>
      </c>
      <c r="H269" s="8"/>
      <c r="I269" s="8"/>
      <c r="J269" s="8"/>
      <c r="K269" s="8"/>
    </row>
    <row r="270" spans="1:11" x14ac:dyDescent="0.3">
      <c r="A270" s="1" t="s">
        <v>75</v>
      </c>
      <c r="B270" s="1">
        <f t="shared" ref="B270:K270" si="16">SUMIFS($M$3:$M$14,B258:B269,"&lt;&gt;")</f>
        <v>3088</v>
      </c>
      <c r="C270" s="1">
        <f t="shared" si="16"/>
        <v>512</v>
      </c>
      <c r="D270" s="1">
        <f t="shared" si="16"/>
        <v>0</v>
      </c>
      <c r="E270" s="1">
        <f t="shared" si="16"/>
        <v>0</v>
      </c>
      <c r="F270" s="1">
        <f t="shared" si="16"/>
        <v>0</v>
      </c>
      <c r="G270" s="1">
        <f t="shared" si="16"/>
        <v>4095</v>
      </c>
      <c r="H270" s="1">
        <f t="shared" si="16"/>
        <v>0</v>
      </c>
      <c r="I270" s="1">
        <f t="shared" si="16"/>
        <v>0</v>
      </c>
      <c r="J270" s="1">
        <f t="shared" si="16"/>
        <v>0</v>
      </c>
      <c r="K270" s="1">
        <f t="shared" si="16"/>
        <v>0</v>
      </c>
    </row>
    <row r="272" spans="1:11" x14ac:dyDescent="0.3">
      <c r="A272" s="11" t="s">
        <v>68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x14ac:dyDescent="0.3">
      <c r="A273" s="9" t="s">
        <v>74</v>
      </c>
      <c r="B273" s="1">
        <v>1</v>
      </c>
      <c r="C273" s="1">
        <v>2</v>
      </c>
      <c r="D273" s="1">
        <v>4</v>
      </c>
      <c r="E273" s="1">
        <v>8</v>
      </c>
      <c r="F273" s="1">
        <v>16</v>
      </c>
      <c r="G273" s="1">
        <v>32</v>
      </c>
      <c r="H273" s="1">
        <v>64</v>
      </c>
      <c r="I273" s="1">
        <v>128</v>
      </c>
      <c r="J273" s="1">
        <v>256</v>
      </c>
      <c r="K273" s="1">
        <v>1024</v>
      </c>
    </row>
    <row r="274" spans="1:11" x14ac:dyDescent="0.3">
      <c r="A274" s="1" t="s">
        <v>12</v>
      </c>
      <c r="B274" s="1" t="s">
        <v>37</v>
      </c>
      <c r="C274" s="1" t="s">
        <v>41</v>
      </c>
      <c r="D274" s="1" t="s">
        <v>36</v>
      </c>
      <c r="E274" s="1" t="s">
        <v>42</v>
      </c>
      <c r="F274" s="1" t="s">
        <v>38</v>
      </c>
      <c r="G274" s="1" t="s">
        <v>43</v>
      </c>
      <c r="H274" s="1" t="s">
        <v>40</v>
      </c>
      <c r="I274" s="1" t="s">
        <v>44</v>
      </c>
      <c r="J274" s="1" t="s">
        <v>45</v>
      </c>
      <c r="K274" s="1" t="s">
        <v>39</v>
      </c>
    </row>
    <row r="275" spans="1:11" x14ac:dyDescent="0.3">
      <c r="A275" s="1" t="s">
        <v>0</v>
      </c>
      <c r="B275" s="4" t="s">
        <v>14</v>
      </c>
      <c r="C275" s="4" t="s">
        <v>14</v>
      </c>
      <c r="D275" s="8"/>
      <c r="E275" s="4" t="s">
        <v>14</v>
      </c>
      <c r="F275" s="4" t="s">
        <v>14</v>
      </c>
      <c r="G275" s="4" t="s">
        <v>14</v>
      </c>
      <c r="H275" s="8"/>
      <c r="I275" s="4" t="s">
        <v>14</v>
      </c>
      <c r="J275" s="4" t="s">
        <v>14</v>
      </c>
      <c r="K275" s="8"/>
    </row>
    <row r="276" spans="1:11" x14ac:dyDescent="0.3">
      <c r="A276" s="1" t="s">
        <v>1</v>
      </c>
      <c r="B276" s="4" t="s">
        <v>14</v>
      </c>
      <c r="C276" s="8"/>
      <c r="D276" s="4" t="s">
        <v>14</v>
      </c>
      <c r="E276" s="4" t="s">
        <v>14</v>
      </c>
      <c r="F276" s="8"/>
      <c r="G276" s="4" t="s">
        <v>14</v>
      </c>
      <c r="H276" s="4" t="s">
        <v>14</v>
      </c>
      <c r="I276" s="8"/>
      <c r="J276" s="4" t="s">
        <v>14</v>
      </c>
      <c r="K276" s="8"/>
    </row>
    <row r="277" spans="1:11" x14ac:dyDescent="0.3">
      <c r="A277" s="1" t="s">
        <v>2</v>
      </c>
      <c r="B277" s="4" t="s">
        <v>14</v>
      </c>
      <c r="C277" s="4" t="s">
        <v>14</v>
      </c>
      <c r="D277" s="4" t="s">
        <v>14</v>
      </c>
      <c r="E277" s="4" t="s">
        <v>14</v>
      </c>
      <c r="F277" s="4" t="s">
        <v>14</v>
      </c>
      <c r="G277" s="4" t="s">
        <v>14</v>
      </c>
      <c r="H277" s="8"/>
      <c r="I277" s="8"/>
      <c r="J277" s="8"/>
      <c r="K277" s="8"/>
    </row>
    <row r="278" spans="1:11" x14ac:dyDescent="0.3">
      <c r="A278" s="1" t="s">
        <v>3</v>
      </c>
      <c r="B278" s="4" t="s">
        <v>14</v>
      </c>
      <c r="C278" s="8"/>
      <c r="D278" s="4" t="s">
        <v>14</v>
      </c>
      <c r="E278" s="4" t="s">
        <v>14</v>
      </c>
      <c r="F278" s="4" t="s">
        <v>14</v>
      </c>
      <c r="G278" s="4" t="s">
        <v>14</v>
      </c>
      <c r="H278" s="8"/>
      <c r="I278" s="8"/>
      <c r="J278" s="8"/>
      <c r="K278" s="4" t="s">
        <v>14</v>
      </c>
    </row>
    <row r="279" spans="1:11" x14ac:dyDescent="0.3">
      <c r="A279" s="1" t="s">
        <v>4</v>
      </c>
      <c r="B279" s="4" t="s">
        <v>14</v>
      </c>
      <c r="C279" s="8"/>
      <c r="D279" s="8"/>
      <c r="E279" s="4" t="s">
        <v>14</v>
      </c>
      <c r="F279" s="4" t="s">
        <v>14</v>
      </c>
      <c r="G279" s="4" t="s">
        <v>14</v>
      </c>
      <c r="H279" s="8"/>
      <c r="I279" s="4" t="s">
        <v>14</v>
      </c>
      <c r="J279" s="4" t="s">
        <v>14</v>
      </c>
      <c r="K279" s="8"/>
    </row>
    <row r="280" spans="1:11" x14ac:dyDescent="0.3">
      <c r="A280" s="1" t="s">
        <v>5</v>
      </c>
      <c r="B280" s="4" t="s">
        <v>14</v>
      </c>
      <c r="C280" s="8"/>
      <c r="D280" s="4" t="s">
        <v>14</v>
      </c>
      <c r="E280" s="8"/>
      <c r="F280" s="8"/>
      <c r="G280" s="4" t="s">
        <v>14</v>
      </c>
      <c r="H280" s="4" t="s">
        <v>14</v>
      </c>
      <c r="I280" s="8"/>
      <c r="J280" s="8"/>
      <c r="K280" s="4" t="s">
        <v>14</v>
      </c>
    </row>
    <row r="281" spans="1:11" x14ac:dyDescent="0.3">
      <c r="A281" s="1" t="s">
        <v>6</v>
      </c>
      <c r="B281" s="4" t="s">
        <v>14</v>
      </c>
      <c r="C281" s="8"/>
      <c r="D281" s="8"/>
      <c r="E281" s="4" t="s">
        <v>14</v>
      </c>
      <c r="F281" s="8"/>
      <c r="G281" s="4" t="s">
        <v>14</v>
      </c>
      <c r="H281" s="8"/>
      <c r="I281" s="4" t="s">
        <v>14</v>
      </c>
      <c r="J281" s="4" t="s">
        <v>14</v>
      </c>
      <c r="K281" s="8"/>
    </row>
    <row r="282" spans="1:11" x14ac:dyDescent="0.3">
      <c r="A282" s="1" t="s">
        <v>7</v>
      </c>
      <c r="B282" s="4" t="s">
        <v>14</v>
      </c>
      <c r="C282" s="8"/>
      <c r="D282" s="4" t="s">
        <v>14</v>
      </c>
      <c r="E282" s="4" t="s">
        <v>14</v>
      </c>
      <c r="F282" s="4" t="s">
        <v>14</v>
      </c>
      <c r="G282" s="4" t="s">
        <v>14</v>
      </c>
      <c r="H282" s="4" t="s">
        <v>14</v>
      </c>
      <c r="I282" s="4" t="s">
        <v>14</v>
      </c>
      <c r="J282" s="8"/>
      <c r="K282" s="8"/>
    </row>
    <row r="283" spans="1:11" x14ac:dyDescent="0.3">
      <c r="A283" s="1" t="s">
        <v>8</v>
      </c>
      <c r="B283" s="4" t="s">
        <v>14</v>
      </c>
      <c r="C283" s="8"/>
      <c r="D283" s="4" t="s">
        <v>14</v>
      </c>
      <c r="E283" s="4" t="s">
        <v>14</v>
      </c>
      <c r="F283" s="4" t="s">
        <v>14</v>
      </c>
      <c r="G283" s="4" t="s">
        <v>14</v>
      </c>
      <c r="H283" s="4" t="s">
        <v>14</v>
      </c>
      <c r="I283" s="4" t="s">
        <v>14</v>
      </c>
      <c r="J283" s="4" t="s">
        <v>14</v>
      </c>
      <c r="K283" s="8"/>
    </row>
    <row r="284" spans="1:11" x14ac:dyDescent="0.3">
      <c r="A284" s="1" t="s">
        <v>9</v>
      </c>
      <c r="B284" s="8"/>
      <c r="C284" s="4" t="s">
        <v>14</v>
      </c>
      <c r="D284" s="4" t="s">
        <v>14</v>
      </c>
      <c r="E284" s="4" t="s">
        <v>14</v>
      </c>
      <c r="F284" s="4" t="s">
        <v>14</v>
      </c>
      <c r="G284" s="4" t="s">
        <v>14</v>
      </c>
      <c r="H284" s="8"/>
      <c r="I284" s="4" t="s">
        <v>14</v>
      </c>
      <c r="J284" s="4" t="s">
        <v>14</v>
      </c>
      <c r="K284" s="8"/>
    </row>
    <row r="285" spans="1:11" x14ac:dyDescent="0.3">
      <c r="A285" s="1" t="s">
        <v>10</v>
      </c>
      <c r="B285" s="4" t="s">
        <v>14</v>
      </c>
      <c r="C285" s="4" t="s">
        <v>14</v>
      </c>
      <c r="D285" s="4" t="s">
        <v>14</v>
      </c>
      <c r="E285" s="8"/>
      <c r="F285" s="4" t="s">
        <v>14</v>
      </c>
      <c r="G285" s="4" t="s">
        <v>14</v>
      </c>
      <c r="H285" s="4" t="s">
        <v>14</v>
      </c>
      <c r="I285" s="4" t="s">
        <v>14</v>
      </c>
      <c r="J285" s="8"/>
      <c r="K285" s="8"/>
    </row>
    <row r="286" spans="1:11" x14ac:dyDescent="0.3">
      <c r="A286" s="1" t="s">
        <v>11</v>
      </c>
      <c r="B286" s="4" t="s">
        <v>14</v>
      </c>
      <c r="C286" s="8"/>
      <c r="D286" s="4" t="s">
        <v>14</v>
      </c>
      <c r="E286" s="4" t="s">
        <v>14</v>
      </c>
      <c r="F286" s="4" t="s">
        <v>14</v>
      </c>
      <c r="G286" s="4" t="s">
        <v>14</v>
      </c>
      <c r="H286" s="8"/>
      <c r="I286" s="4" t="s">
        <v>14</v>
      </c>
      <c r="J286" s="4" t="s">
        <v>14</v>
      </c>
      <c r="K286" s="4" t="s">
        <v>14</v>
      </c>
    </row>
    <row r="287" spans="1:11" x14ac:dyDescent="0.3">
      <c r="A287" s="1" t="s">
        <v>75</v>
      </c>
      <c r="B287" s="1">
        <f t="shared" ref="B287:K287" si="17">SUMIFS($M$3:$M$14,B275:B286,"&lt;&gt;")</f>
        <v>3583</v>
      </c>
      <c r="C287" s="1">
        <f t="shared" si="17"/>
        <v>1541</v>
      </c>
      <c r="D287" s="1">
        <f t="shared" si="17"/>
        <v>4014</v>
      </c>
      <c r="E287" s="1">
        <f t="shared" si="17"/>
        <v>3039</v>
      </c>
      <c r="F287" s="1">
        <f t="shared" si="17"/>
        <v>3997</v>
      </c>
      <c r="G287" s="1">
        <f t="shared" si="17"/>
        <v>4095</v>
      </c>
      <c r="H287" s="1">
        <f t="shared" si="17"/>
        <v>1442</v>
      </c>
      <c r="I287" s="1">
        <f t="shared" si="17"/>
        <v>4049</v>
      </c>
      <c r="J287" s="1">
        <f t="shared" si="17"/>
        <v>2899</v>
      </c>
      <c r="K287" s="1">
        <f t="shared" si="17"/>
        <v>2088</v>
      </c>
    </row>
    <row r="289" spans="1:11" x14ac:dyDescent="0.3">
      <c r="A289" s="10" t="s">
        <v>69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3">
      <c r="A290" s="9" t="s">
        <v>74</v>
      </c>
      <c r="B290" s="1">
        <v>1</v>
      </c>
      <c r="C290" s="1">
        <v>2</v>
      </c>
      <c r="D290" s="1">
        <v>4</v>
      </c>
      <c r="E290" s="1">
        <v>8</v>
      </c>
      <c r="F290" s="1">
        <v>16</v>
      </c>
      <c r="G290" s="1">
        <v>32</v>
      </c>
      <c r="H290" s="1">
        <v>64</v>
      </c>
      <c r="I290" s="1">
        <v>128</v>
      </c>
      <c r="J290" s="1">
        <v>256</v>
      </c>
      <c r="K290" s="1">
        <v>1024</v>
      </c>
    </row>
    <row r="291" spans="1:11" x14ac:dyDescent="0.3">
      <c r="A291" s="1" t="s">
        <v>12</v>
      </c>
      <c r="B291" s="1" t="s">
        <v>37</v>
      </c>
      <c r="C291" s="1" t="s">
        <v>41</v>
      </c>
      <c r="D291" s="1" t="s">
        <v>36</v>
      </c>
      <c r="E291" s="1" t="s">
        <v>42</v>
      </c>
      <c r="F291" s="1" t="s">
        <v>38</v>
      </c>
      <c r="G291" s="1" t="s">
        <v>43</v>
      </c>
      <c r="H291" s="1" t="s">
        <v>40</v>
      </c>
      <c r="I291" s="1" t="s">
        <v>44</v>
      </c>
      <c r="J291" s="1" t="s">
        <v>45</v>
      </c>
      <c r="K291" s="1" t="s">
        <v>39</v>
      </c>
    </row>
    <row r="292" spans="1:11" x14ac:dyDescent="0.3">
      <c r="A292" s="1" t="s">
        <v>0</v>
      </c>
      <c r="B292" s="8"/>
      <c r="C292" s="8"/>
      <c r="D292" s="8"/>
      <c r="E292" s="8"/>
      <c r="F292" s="4" t="s">
        <v>14</v>
      </c>
      <c r="G292" s="8"/>
      <c r="H292" s="8"/>
      <c r="I292" s="4" t="s">
        <v>14</v>
      </c>
      <c r="J292" s="4" t="s">
        <v>14</v>
      </c>
      <c r="K292" s="8"/>
    </row>
    <row r="293" spans="1:11" x14ac:dyDescent="0.3">
      <c r="A293" s="1" t="s">
        <v>1</v>
      </c>
      <c r="B293" s="8"/>
      <c r="C293" s="8"/>
      <c r="D293" s="8"/>
      <c r="E293" s="8"/>
      <c r="F293" s="8"/>
      <c r="G293" s="8"/>
      <c r="H293" s="8"/>
      <c r="I293" s="8"/>
      <c r="J293" s="4" t="s">
        <v>14</v>
      </c>
      <c r="K293" s="8"/>
    </row>
    <row r="294" spans="1:11" x14ac:dyDescent="0.3">
      <c r="A294" s="1" t="s">
        <v>2</v>
      </c>
      <c r="B294" s="8"/>
      <c r="C294" s="8"/>
      <c r="D294" s="8"/>
      <c r="E294" s="8"/>
      <c r="F294" s="4" t="s">
        <v>14</v>
      </c>
      <c r="G294" s="8"/>
      <c r="H294" s="8"/>
      <c r="I294" s="8"/>
      <c r="J294" s="8"/>
      <c r="K294" s="8"/>
    </row>
    <row r="295" spans="1:11" x14ac:dyDescent="0.3">
      <c r="A295" s="1" t="s">
        <v>3</v>
      </c>
      <c r="B295" s="8"/>
      <c r="C295" s="8"/>
      <c r="D295" s="8"/>
      <c r="E295" s="8"/>
      <c r="F295" s="4" t="s">
        <v>14</v>
      </c>
      <c r="G295" s="8"/>
      <c r="H295" s="8"/>
      <c r="I295" s="8"/>
      <c r="J295" s="8"/>
      <c r="K295" s="8"/>
    </row>
    <row r="296" spans="1:11" x14ac:dyDescent="0.3">
      <c r="A296" s="1" t="s">
        <v>4</v>
      </c>
      <c r="B296" s="8"/>
      <c r="C296" s="8"/>
      <c r="D296" s="8"/>
      <c r="E296" s="8"/>
      <c r="F296" s="4" t="s">
        <v>14</v>
      </c>
      <c r="G296" s="8"/>
      <c r="H296" s="8"/>
      <c r="I296" s="4" t="s">
        <v>14</v>
      </c>
      <c r="J296" s="4" t="s">
        <v>14</v>
      </c>
      <c r="K296" s="8"/>
    </row>
    <row r="297" spans="1:11" x14ac:dyDescent="0.3">
      <c r="A297" s="1" t="s">
        <v>5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 x14ac:dyDescent="0.3">
      <c r="A298" s="1" t="s">
        <v>6</v>
      </c>
      <c r="B298" s="8"/>
      <c r="C298" s="8"/>
      <c r="D298" s="8"/>
      <c r="E298" s="8"/>
      <c r="F298" s="8"/>
      <c r="G298" s="8"/>
      <c r="H298" s="8"/>
      <c r="I298" s="4" t="s">
        <v>14</v>
      </c>
      <c r="J298" s="4" t="s">
        <v>14</v>
      </c>
      <c r="K298" s="8"/>
    </row>
    <row r="299" spans="1:11" x14ac:dyDescent="0.3">
      <c r="A299" s="1" t="s">
        <v>7</v>
      </c>
      <c r="B299" s="8"/>
      <c r="C299" s="8"/>
      <c r="D299" s="8"/>
      <c r="E299" s="8"/>
      <c r="F299" s="4" t="s">
        <v>14</v>
      </c>
      <c r="G299" s="8"/>
      <c r="H299" s="8"/>
      <c r="I299" s="4" t="s">
        <v>14</v>
      </c>
      <c r="J299" s="8"/>
      <c r="K299" s="8"/>
    </row>
    <row r="300" spans="1:11" x14ac:dyDescent="0.3">
      <c r="A300" s="1" t="s">
        <v>8</v>
      </c>
      <c r="B300" s="8"/>
      <c r="C300" s="8"/>
      <c r="D300" s="8"/>
      <c r="E300" s="8"/>
      <c r="F300" s="4" t="s">
        <v>14</v>
      </c>
      <c r="G300" s="8"/>
      <c r="H300" s="8"/>
      <c r="I300" s="4" t="s">
        <v>14</v>
      </c>
      <c r="J300" s="4" t="s">
        <v>14</v>
      </c>
      <c r="K300" s="8"/>
    </row>
    <row r="301" spans="1:11" x14ac:dyDescent="0.3">
      <c r="A301" s="1" t="s">
        <v>9</v>
      </c>
      <c r="B301" s="8"/>
      <c r="C301" s="8"/>
      <c r="D301" s="8"/>
      <c r="E301" s="8"/>
      <c r="F301" s="4" t="s">
        <v>14</v>
      </c>
      <c r="G301" s="8"/>
      <c r="H301" s="8"/>
      <c r="I301" s="4" t="s">
        <v>14</v>
      </c>
      <c r="J301" s="4" t="s">
        <v>14</v>
      </c>
      <c r="K301" s="8"/>
    </row>
    <row r="302" spans="1:11" x14ac:dyDescent="0.3">
      <c r="A302" s="1" t="s">
        <v>10</v>
      </c>
      <c r="B302" s="8"/>
      <c r="C302" s="8"/>
      <c r="D302" s="8"/>
      <c r="E302" s="8"/>
      <c r="F302" s="4" t="s">
        <v>14</v>
      </c>
      <c r="G302" s="8"/>
      <c r="H302" s="8"/>
      <c r="I302" s="4" t="s">
        <v>14</v>
      </c>
      <c r="J302" s="8"/>
      <c r="K302" s="8"/>
    </row>
    <row r="303" spans="1:11" x14ac:dyDescent="0.3">
      <c r="A303" s="1" t="s">
        <v>11</v>
      </c>
      <c r="B303" s="8"/>
      <c r="C303" s="8"/>
      <c r="D303" s="8"/>
      <c r="E303" s="8"/>
      <c r="F303" s="4" t="s">
        <v>14</v>
      </c>
      <c r="G303" s="8"/>
      <c r="H303" s="8"/>
      <c r="I303" s="4" t="s">
        <v>14</v>
      </c>
      <c r="J303" s="4" t="s">
        <v>14</v>
      </c>
      <c r="K303" s="8"/>
    </row>
    <row r="304" spans="1:11" x14ac:dyDescent="0.3">
      <c r="A304" s="1" t="s">
        <v>75</v>
      </c>
      <c r="B304" s="1">
        <f t="shared" ref="B304:K304" si="18">SUMIFS($M$3:$M$14,B292:B303,"&lt;&gt;")</f>
        <v>0</v>
      </c>
      <c r="C304" s="1">
        <f t="shared" si="18"/>
        <v>0</v>
      </c>
      <c r="D304" s="1">
        <f t="shared" si="18"/>
        <v>0</v>
      </c>
      <c r="E304" s="1">
        <f t="shared" si="18"/>
        <v>0</v>
      </c>
      <c r="F304" s="1">
        <f t="shared" si="18"/>
        <v>3997</v>
      </c>
      <c r="G304" s="1">
        <f t="shared" si="18"/>
        <v>0</v>
      </c>
      <c r="H304" s="1">
        <f t="shared" si="18"/>
        <v>0</v>
      </c>
      <c r="I304" s="1">
        <f t="shared" si="18"/>
        <v>4049</v>
      </c>
      <c r="J304" s="1">
        <f t="shared" si="18"/>
        <v>2899</v>
      </c>
      <c r="K304" s="1">
        <f t="shared" si="18"/>
        <v>0</v>
      </c>
    </row>
  </sheetData>
  <mergeCells count="18">
    <mergeCell ref="A238:K238"/>
    <mergeCell ref="A255:K255"/>
    <mergeCell ref="A272:K272"/>
    <mergeCell ref="A289:K289"/>
    <mergeCell ref="A153:K153"/>
    <mergeCell ref="A170:K170"/>
    <mergeCell ref="A187:K187"/>
    <mergeCell ref="A204:K204"/>
    <mergeCell ref="A221:K221"/>
    <mergeCell ref="A85:K85"/>
    <mergeCell ref="A102:K102"/>
    <mergeCell ref="A119:K119"/>
    <mergeCell ref="A136:K136"/>
    <mergeCell ref="A1:K1"/>
    <mergeCell ref="A68:K68"/>
    <mergeCell ref="A17:K17"/>
    <mergeCell ref="A34:K34"/>
    <mergeCell ref="A51:K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 Mask</vt:lpstr>
      <vt:lpstr>Class Mask</vt:lpstr>
      <vt:lpstr>Weapon Class Mask</vt:lpstr>
      <vt:lpstr>Race Class Starting 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Staden</dc:creator>
  <cp:lastModifiedBy>Justin Van Staden</cp:lastModifiedBy>
  <dcterms:created xsi:type="dcterms:W3CDTF">2024-06-06T10:19:29Z</dcterms:created>
  <dcterms:modified xsi:type="dcterms:W3CDTF">2025-06-07T05:16:21Z</dcterms:modified>
</cp:coreProperties>
</file>